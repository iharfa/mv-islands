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4A8DDEB-DD0D-474D-A88C-2447F42B9162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Employmen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5" l="1"/>
  <c r="T5" i="5" s="1"/>
  <c r="N6" i="5"/>
  <c r="T6" i="5" s="1"/>
  <c r="N7" i="5"/>
  <c r="T7" i="5" s="1"/>
  <c r="N8" i="5"/>
  <c r="T8" i="5" s="1"/>
  <c r="N9" i="5"/>
  <c r="T9" i="5" s="1"/>
  <c r="N10" i="5"/>
  <c r="T10" i="5" s="1"/>
  <c r="N11" i="5"/>
  <c r="T11" i="5" s="1"/>
  <c r="N12" i="5"/>
  <c r="T12" i="5" s="1"/>
  <c r="N13" i="5"/>
  <c r="T13" i="5" s="1"/>
  <c r="N14" i="5"/>
  <c r="T14" i="5" s="1"/>
  <c r="N15" i="5"/>
  <c r="T15" i="5" s="1"/>
  <c r="N16" i="5"/>
  <c r="T16" i="5" s="1"/>
  <c r="N17" i="5"/>
  <c r="T17" i="5" s="1"/>
  <c r="N18" i="5"/>
  <c r="T18" i="5" s="1"/>
  <c r="N19" i="5"/>
  <c r="T19" i="5" s="1"/>
  <c r="N20" i="5"/>
  <c r="T20" i="5" s="1"/>
  <c r="N21" i="5"/>
  <c r="T21" i="5" s="1"/>
  <c r="N22" i="5"/>
  <c r="T22" i="5" s="1"/>
  <c r="N23" i="5"/>
  <c r="T23" i="5" s="1"/>
  <c r="N24" i="5"/>
  <c r="T24" i="5" s="1"/>
  <c r="N25" i="5"/>
  <c r="T25" i="5" s="1"/>
  <c r="N26" i="5"/>
  <c r="T26" i="5" s="1"/>
  <c r="N27" i="5"/>
  <c r="T27" i="5" s="1"/>
  <c r="N28" i="5"/>
  <c r="T28" i="5" s="1"/>
  <c r="N29" i="5"/>
  <c r="T29" i="5" s="1"/>
  <c r="N30" i="5"/>
  <c r="T30" i="5" s="1"/>
  <c r="N31" i="5"/>
  <c r="T31" i="5" s="1"/>
  <c r="N32" i="5"/>
  <c r="T32" i="5" s="1"/>
  <c r="N33" i="5"/>
  <c r="T33" i="5" s="1"/>
  <c r="N34" i="5"/>
  <c r="T34" i="5" s="1"/>
  <c r="N35" i="5"/>
  <c r="T35" i="5" s="1"/>
  <c r="N36" i="5"/>
  <c r="T36" i="5" s="1"/>
  <c r="N37" i="5"/>
  <c r="T37" i="5" s="1"/>
  <c r="N38" i="5"/>
  <c r="T38" i="5" s="1"/>
  <c r="N39" i="5"/>
  <c r="T39" i="5" s="1"/>
  <c r="N40" i="5"/>
  <c r="T40" i="5" s="1"/>
  <c r="N41" i="5"/>
  <c r="T41" i="5" s="1"/>
  <c r="N42" i="5"/>
  <c r="T42" i="5" s="1"/>
  <c r="N43" i="5"/>
  <c r="T43" i="5" s="1"/>
  <c r="N44" i="5"/>
  <c r="T44" i="5" s="1"/>
  <c r="N45" i="5"/>
  <c r="T45" i="5" s="1"/>
  <c r="N46" i="5"/>
  <c r="T46" i="5" s="1"/>
  <c r="N47" i="5"/>
  <c r="T47" i="5" s="1"/>
  <c r="N48" i="5"/>
  <c r="T48" i="5" s="1"/>
  <c r="N49" i="5"/>
  <c r="T49" i="5" s="1"/>
  <c r="N50" i="5"/>
  <c r="T50" i="5" s="1"/>
  <c r="N51" i="5"/>
  <c r="T51" i="5" s="1"/>
  <c r="N52" i="5"/>
  <c r="T52" i="5" s="1"/>
  <c r="N53" i="5"/>
  <c r="T53" i="5" s="1"/>
  <c r="N54" i="5"/>
  <c r="T54" i="5" s="1"/>
  <c r="N55" i="5"/>
  <c r="T55" i="5" s="1"/>
  <c r="N56" i="5"/>
  <c r="T56" i="5" s="1"/>
  <c r="N57" i="5"/>
  <c r="T57" i="5" s="1"/>
  <c r="N58" i="5"/>
  <c r="T58" i="5" s="1"/>
  <c r="N59" i="5"/>
  <c r="T59" i="5" s="1"/>
  <c r="N60" i="5"/>
  <c r="T60" i="5" s="1"/>
  <c r="N61" i="5"/>
  <c r="T61" i="5" s="1"/>
  <c r="N62" i="5"/>
  <c r="T62" i="5" s="1"/>
  <c r="N63" i="5"/>
  <c r="T63" i="5" s="1"/>
  <c r="N64" i="5"/>
  <c r="T64" i="5" s="1"/>
  <c r="N65" i="5"/>
  <c r="T65" i="5" s="1"/>
  <c r="N66" i="5"/>
  <c r="T66" i="5" s="1"/>
  <c r="N67" i="5"/>
  <c r="T67" i="5" s="1"/>
  <c r="N68" i="5"/>
  <c r="T68" i="5" s="1"/>
  <c r="N69" i="5"/>
  <c r="T69" i="5" s="1"/>
  <c r="N70" i="5"/>
  <c r="T70" i="5" s="1"/>
  <c r="N71" i="5"/>
  <c r="T71" i="5" s="1"/>
  <c r="N72" i="5"/>
  <c r="T72" i="5" s="1"/>
  <c r="N73" i="5"/>
  <c r="T73" i="5" s="1"/>
  <c r="N74" i="5"/>
  <c r="T74" i="5" s="1"/>
  <c r="N75" i="5"/>
  <c r="T75" i="5" s="1"/>
  <c r="N76" i="5"/>
  <c r="T76" i="5" s="1"/>
  <c r="N77" i="5"/>
  <c r="T77" i="5" s="1"/>
  <c r="N78" i="5"/>
  <c r="T78" i="5" s="1"/>
  <c r="N79" i="5"/>
  <c r="T79" i="5" s="1"/>
  <c r="N80" i="5"/>
  <c r="T80" i="5" s="1"/>
  <c r="N81" i="5"/>
  <c r="T81" i="5" s="1"/>
  <c r="N82" i="5"/>
  <c r="T82" i="5" s="1"/>
  <c r="N83" i="5"/>
  <c r="T83" i="5" s="1"/>
  <c r="N84" i="5"/>
  <c r="T84" i="5" s="1"/>
  <c r="N85" i="5"/>
  <c r="T85" i="5" s="1"/>
  <c r="N86" i="5"/>
  <c r="T86" i="5" s="1"/>
  <c r="N87" i="5"/>
  <c r="T87" i="5" s="1"/>
  <c r="N88" i="5"/>
  <c r="T88" i="5" s="1"/>
  <c r="N89" i="5"/>
  <c r="T89" i="5" s="1"/>
  <c r="N90" i="5"/>
  <c r="T90" i="5" s="1"/>
  <c r="N91" i="5"/>
  <c r="T91" i="5" s="1"/>
  <c r="N92" i="5"/>
  <c r="T92" i="5" s="1"/>
  <c r="N93" i="5"/>
  <c r="T93" i="5" s="1"/>
  <c r="N94" i="5"/>
  <c r="T94" i="5" s="1"/>
  <c r="N95" i="5"/>
  <c r="T95" i="5" s="1"/>
  <c r="N96" i="5"/>
  <c r="T96" i="5" s="1"/>
  <c r="N97" i="5"/>
  <c r="T97" i="5" s="1"/>
  <c r="H5" i="5"/>
  <c r="S5" i="5" s="1"/>
  <c r="H6" i="5"/>
  <c r="S6" i="5" s="1"/>
  <c r="H7" i="5"/>
  <c r="S7" i="5" s="1"/>
  <c r="H8" i="5"/>
  <c r="S8" i="5" s="1"/>
  <c r="H9" i="5"/>
  <c r="S9" i="5" s="1"/>
  <c r="H10" i="5"/>
  <c r="S10" i="5" s="1"/>
  <c r="H11" i="5"/>
  <c r="S11" i="5" s="1"/>
  <c r="H12" i="5"/>
  <c r="S12" i="5" s="1"/>
  <c r="H13" i="5"/>
  <c r="S13" i="5" s="1"/>
  <c r="H14" i="5"/>
  <c r="S14" i="5" s="1"/>
  <c r="H15" i="5"/>
  <c r="S15" i="5" s="1"/>
  <c r="H16" i="5"/>
  <c r="S16" i="5" s="1"/>
  <c r="H17" i="5"/>
  <c r="S17" i="5" s="1"/>
  <c r="H18" i="5"/>
  <c r="S18" i="5" s="1"/>
  <c r="H19" i="5"/>
  <c r="S19" i="5" s="1"/>
  <c r="H20" i="5"/>
  <c r="S20" i="5" s="1"/>
  <c r="H21" i="5"/>
  <c r="S21" i="5" s="1"/>
  <c r="H22" i="5"/>
  <c r="S22" i="5" s="1"/>
  <c r="H23" i="5"/>
  <c r="S23" i="5" s="1"/>
  <c r="H24" i="5"/>
  <c r="S24" i="5" s="1"/>
  <c r="H25" i="5"/>
  <c r="S25" i="5" s="1"/>
  <c r="H26" i="5"/>
  <c r="S26" i="5" s="1"/>
  <c r="H27" i="5"/>
  <c r="S27" i="5" s="1"/>
  <c r="H28" i="5"/>
  <c r="S28" i="5" s="1"/>
  <c r="H29" i="5"/>
  <c r="S29" i="5" s="1"/>
  <c r="H30" i="5"/>
  <c r="S30" i="5" s="1"/>
  <c r="H31" i="5"/>
  <c r="S31" i="5" s="1"/>
  <c r="H32" i="5"/>
  <c r="S32" i="5" s="1"/>
  <c r="H33" i="5"/>
  <c r="S33" i="5" s="1"/>
  <c r="H34" i="5"/>
  <c r="S34" i="5" s="1"/>
  <c r="H35" i="5"/>
  <c r="S35" i="5" s="1"/>
  <c r="H36" i="5"/>
  <c r="S36" i="5" s="1"/>
  <c r="H37" i="5"/>
  <c r="S37" i="5" s="1"/>
  <c r="H38" i="5"/>
  <c r="S38" i="5" s="1"/>
  <c r="H39" i="5"/>
  <c r="S39" i="5" s="1"/>
  <c r="H40" i="5"/>
  <c r="S40" i="5" s="1"/>
  <c r="H41" i="5"/>
  <c r="S41" i="5" s="1"/>
  <c r="H42" i="5"/>
  <c r="S42" i="5" s="1"/>
  <c r="H43" i="5"/>
  <c r="S43" i="5" s="1"/>
  <c r="H44" i="5"/>
  <c r="S44" i="5" s="1"/>
  <c r="H45" i="5"/>
  <c r="S45" i="5" s="1"/>
  <c r="H46" i="5"/>
  <c r="S46" i="5" s="1"/>
  <c r="H47" i="5"/>
  <c r="S47" i="5" s="1"/>
  <c r="H48" i="5"/>
  <c r="S48" i="5" s="1"/>
  <c r="H49" i="5"/>
  <c r="S49" i="5" s="1"/>
  <c r="H50" i="5"/>
  <c r="S50" i="5" s="1"/>
  <c r="H51" i="5"/>
  <c r="S51" i="5" s="1"/>
  <c r="H52" i="5"/>
  <c r="S52" i="5" s="1"/>
  <c r="H53" i="5"/>
  <c r="S53" i="5" s="1"/>
  <c r="H54" i="5"/>
  <c r="S54" i="5" s="1"/>
  <c r="H55" i="5"/>
  <c r="S55" i="5" s="1"/>
  <c r="H56" i="5"/>
  <c r="S56" i="5" s="1"/>
  <c r="H57" i="5"/>
  <c r="S57" i="5" s="1"/>
  <c r="H58" i="5"/>
  <c r="S58" i="5" s="1"/>
  <c r="H59" i="5"/>
  <c r="S59" i="5" s="1"/>
  <c r="H60" i="5"/>
  <c r="S60" i="5" s="1"/>
  <c r="H61" i="5"/>
  <c r="S61" i="5" s="1"/>
  <c r="H62" i="5"/>
  <c r="S62" i="5" s="1"/>
  <c r="H63" i="5"/>
  <c r="S63" i="5" s="1"/>
  <c r="H64" i="5"/>
  <c r="S64" i="5" s="1"/>
  <c r="H65" i="5"/>
  <c r="S65" i="5" s="1"/>
  <c r="H66" i="5"/>
  <c r="S66" i="5" s="1"/>
  <c r="H67" i="5"/>
  <c r="S67" i="5" s="1"/>
  <c r="H68" i="5"/>
  <c r="S68" i="5" s="1"/>
  <c r="H69" i="5"/>
  <c r="S69" i="5" s="1"/>
  <c r="H70" i="5"/>
  <c r="S70" i="5" s="1"/>
  <c r="H71" i="5"/>
  <c r="S71" i="5" s="1"/>
  <c r="H72" i="5"/>
  <c r="S72" i="5" s="1"/>
  <c r="H73" i="5"/>
  <c r="S73" i="5" s="1"/>
  <c r="H74" i="5"/>
  <c r="S74" i="5" s="1"/>
  <c r="H75" i="5"/>
  <c r="S75" i="5" s="1"/>
  <c r="H76" i="5"/>
  <c r="S76" i="5" s="1"/>
  <c r="H77" i="5"/>
  <c r="S77" i="5" s="1"/>
  <c r="H78" i="5"/>
  <c r="S78" i="5" s="1"/>
  <c r="H79" i="5"/>
  <c r="S79" i="5" s="1"/>
  <c r="H80" i="5"/>
  <c r="S80" i="5" s="1"/>
  <c r="H81" i="5"/>
  <c r="S81" i="5" s="1"/>
  <c r="H82" i="5"/>
  <c r="S82" i="5" s="1"/>
  <c r="H83" i="5"/>
  <c r="S83" i="5" s="1"/>
  <c r="H84" i="5"/>
  <c r="S84" i="5" s="1"/>
  <c r="H85" i="5"/>
  <c r="S85" i="5" s="1"/>
  <c r="H86" i="5"/>
  <c r="S86" i="5" s="1"/>
  <c r="H87" i="5"/>
  <c r="S87" i="5" s="1"/>
  <c r="H88" i="5"/>
  <c r="S88" i="5" s="1"/>
  <c r="H89" i="5"/>
  <c r="S89" i="5" s="1"/>
  <c r="H90" i="5"/>
  <c r="S90" i="5" s="1"/>
  <c r="H91" i="5"/>
  <c r="S91" i="5" s="1"/>
  <c r="H92" i="5"/>
  <c r="S92" i="5" s="1"/>
  <c r="H93" i="5"/>
  <c r="S93" i="5" s="1"/>
  <c r="H94" i="5"/>
  <c r="S94" i="5" s="1"/>
  <c r="H95" i="5"/>
  <c r="S95" i="5" s="1"/>
  <c r="H96" i="5"/>
  <c r="S96" i="5" s="1"/>
  <c r="H97" i="5"/>
  <c r="S97" i="5" s="1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5" i="5"/>
</calcChain>
</file>

<file path=xl/sharedStrings.xml><?xml version="1.0" encoding="utf-8"?>
<sst xmlns="http://schemas.openxmlformats.org/spreadsheetml/2006/main" count="120" uniqueCount="109">
  <si>
    <t>Galolhu Dhekunu Dhaairaa</t>
  </si>
  <si>
    <t>Galolhu Uthuru Dhaairaa</t>
  </si>
  <si>
    <t>Henveyru Dhekunu Dhaairaa</t>
  </si>
  <si>
    <t>Henveyru Hulhangu Dhaairaa</t>
  </si>
  <si>
    <t>Henveyru Uthuru Dhaairaa</t>
  </si>
  <si>
    <t>Hulhumaale Dhekunu Dhaairaa</t>
  </si>
  <si>
    <t>Hulhumaale Medhu Dhaairaa</t>
  </si>
  <si>
    <t>Hulhumaale Uthuru Dhaairaa</t>
  </si>
  <si>
    <t>Maafannu Dhekunu Dhaairaa</t>
  </si>
  <si>
    <t>Maafannu Hulhangu Dhaairaa</t>
  </si>
  <si>
    <t>Maafannu Medhu Dhaairaa</t>
  </si>
  <si>
    <t>Maafannu Uthuru Dhaairaa</t>
  </si>
  <si>
    <t>Mahchangolhi Dhekunu Dhaairaa</t>
  </si>
  <si>
    <t>Mahchangolhi Medhu Dhaairaa</t>
  </si>
  <si>
    <t>Mahchangolhi Uthuru Dhaairaa</t>
  </si>
  <si>
    <t>Medhu Henveyru Dhaairaa</t>
  </si>
  <si>
    <t>Vilimaale Dhaairaa</t>
  </si>
  <si>
    <t>Baarashu Dhaairaa</t>
  </si>
  <si>
    <t>Dhihdhoo Dhaairaa</t>
  </si>
  <si>
    <t>Hoarafushi Dhaairaa</t>
  </si>
  <si>
    <t>Ihavandhoo Dhaairaa</t>
  </si>
  <si>
    <t>Kelaa Dhaairaa</t>
  </si>
  <si>
    <t>Hanimaadhoo Dhaairaa</t>
  </si>
  <si>
    <t>Kulhudhuffushi Dhekunu Dhaaira</t>
  </si>
  <si>
    <t>Kulhudhuffushi Uthuru Dhaairaa</t>
  </si>
  <si>
    <t>Makunudhoo Dhaairaa</t>
  </si>
  <si>
    <t>Nolhivaramu Dhaairaa</t>
  </si>
  <si>
    <t>Vaikaradhoo Dhaairaa</t>
  </si>
  <si>
    <t>Funadhoo Dhaairaa</t>
  </si>
  <si>
    <t>Kan'ditheemu Dhaairaa</t>
  </si>
  <si>
    <t>Komandoo Dhaairaa</t>
  </si>
  <si>
    <t>Milandhoo Dhaairaa</t>
  </si>
  <si>
    <t>Holhudhoo Dhaairaa</t>
  </si>
  <si>
    <t>Ken'dhikulhudhoo Dhaairaa</t>
  </si>
  <si>
    <t>Manadhoo Dhaairaa</t>
  </si>
  <si>
    <t>Velidhoo Dhaairaa</t>
  </si>
  <si>
    <t>Alifushi Dhaairaa</t>
  </si>
  <si>
    <t>Dhuvaafaru Dhaairaa</t>
  </si>
  <si>
    <t>In'guraidhoo Dhaairaa</t>
  </si>
  <si>
    <t>Maduvvari Dhaairaa</t>
  </si>
  <si>
    <t>Un'goofaaru Dhaairaa</t>
  </si>
  <si>
    <t>Eydhafushi Dhaairaa</t>
  </si>
  <si>
    <t>Hithaadhoo Dhaairaa</t>
  </si>
  <si>
    <t>Kendhoo Dhaairaa</t>
  </si>
  <si>
    <t>Thulhaadhoo Dhaairaa</t>
  </si>
  <si>
    <t>Hinnavaru Dhaairaa</t>
  </si>
  <si>
    <t>Kurendhoo Dhaairaa</t>
  </si>
  <si>
    <t>Naifaru Dhaairaa</t>
  </si>
  <si>
    <t>Huraa Dhaairaa</t>
  </si>
  <si>
    <t>Kaashidhoo Dhaairaa</t>
  </si>
  <si>
    <t>Maafushi Dhaairaa</t>
  </si>
  <si>
    <t>Thulusdhoo Dhaairaa</t>
  </si>
  <si>
    <t>Mathiveri Dhaairaa</t>
  </si>
  <si>
    <t>Thoddoo Dhaairaa</t>
  </si>
  <si>
    <t>Dhan'gethi Dhaairaa</t>
  </si>
  <si>
    <t>Maamin'gili Dhaairaa</t>
  </si>
  <si>
    <t>Mahibadhoo Dhaairaa</t>
  </si>
  <si>
    <t>Felidhoo Dhaairaa</t>
  </si>
  <si>
    <t>Keyodhoo Dhaairaa</t>
  </si>
  <si>
    <t>Dhiggaru Dhaairaa</t>
  </si>
  <si>
    <t>Mulah Dhaairaa</t>
  </si>
  <si>
    <t>Bileydhoo Dhaairaa</t>
  </si>
  <si>
    <t>Nilandhoo Dhaairaa</t>
  </si>
  <si>
    <t>Kudahuvadhoo Dhaairaa</t>
  </si>
  <si>
    <t>Meedhoo Dhaairaa</t>
  </si>
  <si>
    <t>Guraidhoo Dhaairaa</t>
  </si>
  <si>
    <t>Kin'bidhoo Dhaairaa</t>
  </si>
  <si>
    <t>Thimarafushi Dhaairaa</t>
  </si>
  <si>
    <t>Vilufushi Dhaairaa</t>
  </si>
  <si>
    <t>Fonadhoo Dhaairaa</t>
  </si>
  <si>
    <t>Gan Dhaairaa</t>
  </si>
  <si>
    <t>Isdhoo Dhaairaa</t>
  </si>
  <si>
    <t>Maavah Dhaairaa</t>
  </si>
  <si>
    <t>Dhaandhoo Dhaairaa</t>
  </si>
  <si>
    <t>Gemanafushi Dhaairaa</t>
  </si>
  <si>
    <t>Kolamaafushi Dhaairaa</t>
  </si>
  <si>
    <t>Vilin'gili Dhaairaa</t>
  </si>
  <si>
    <t>Faresmaathodaa Dhaairaa</t>
  </si>
  <si>
    <t>Gahdhoo Dhaairaa</t>
  </si>
  <si>
    <t>Madaveli Dhaairaa</t>
  </si>
  <si>
    <t>Thinadhoo Dhekunu Dhaairaa</t>
  </si>
  <si>
    <t>Thinadhoo Uthuru Dhaairaa</t>
  </si>
  <si>
    <t>Fuvahmulah Dhekunu Dhaairaa</t>
  </si>
  <si>
    <t>Fuvahmulah Medhu Dhaairaa</t>
  </si>
  <si>
    <t>Fuvahmulah Uthuru Dhaairaa</t>
  </si>
  <si>
    <t>Feydhoo Dhekunu Dhaairaa</t>
  </si>
  <si>
    <t>Feydhoo Uthuru Dhaairaa</t>
  </si>
  <si>
    <t>Hithadhoo Dhekunu Dhaairaa</t>
  </si>
  <si>
    <t>Hithadhoo Medhu Dhaairaa</t>
  </si>
  <si>
    <t>Hithadhoo Uthuru Dhaairaa</t>
  </si>
  <si>
    <t>Hulhudhoo Dhaairaa</t>
  </si>
  <si>
    <t>Maradhoo Dhaairaa</t>
  </si>
  <si>
    <t>Female</t>
  </si>
  <si>
    <t>Male</t>
  </si>
  <si>
    <t>Total</t>
  </si>
  <si>
    <t>Labour Force Status</t>
  </si>
  <si>
    <t>NEET 15 -24</t>
  </si>
  <si>
    <t>Employed</t>
  </si>
  <si>
    <t>Unemployed</t>
  </si>
  <si>
    <t>Outside Labour Force</t>
  </si>
  <si>
    <t>NEET 18-35</t>
  </si>
  <si>
    <t>Constituency Area</t>
  </si>
  <si>
    <t>Population 15-24</t>
  </si>
  <si>
    <t>Population  18-35</t>
  </si>
  <si>
    <t>Unemployment Rate</t>
  </si>
  <si>
    <t>Maldivian Population counted in the constituency by employment status, Census 2022</t>
  </si>
  <si>
    <t>15-24 years</t>
  </si>
  <si>
    <t>18-35 years</t>
  </si>
  <si>
    <t>Not in Education, Employment and Training (NEET)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</si>
</sst>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1" xfId="0" applyBorder="1"/>
    <xf numFmtId="164" fontId="0" fillId="0" borderId="1" xfId="2" applyNumberFormat="1" applyFont="1" applyBorder="1"/>
    <xf numFmtId="0" fontId="5" fillId="0" borderId="0" xfId="0" applyFont="1"/>
    <xf numFmtId="9" fontId="0" fillId="0" borderId="1" xfId="3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Normal" xfId="0" builtinId="0"/>
    <cellStyle name="Normal 3" xfId="1" xr:uid="{A7F9AA2A-97D3-4A17-B669-90F7BB15CA2B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A1B5-0D8D-44BA-BE91-456E1B385421}">
  <dimension ref="A1:T97"/>
  <sheetViews>
    <sheetView tabSelected="1" zoomScale="64" workbookViewId="0"/>
  </sheetViews>
  <sheetFormatPr defaultRowHeight="15" x14ac:dyDescent="0.25"/>
  <cols>
    <col min="1" max="1" width="29" bestFit="1" customWidth="1"/>
    <col min="2" max="8" width="14.85546875" customWidth="1"/>
    <col min="9" max="17" width="13.5703125" customWidth="1"/>
    <col min="18" max="18" width="15.7109375" customWidth="1"/>
    <col min="19" max="19" width="15" customWidth="1"/>
    <col min="20" max="20" width="13" customWidth="1"/>
  </cols>
  <sheetData>
    <row r="1" spans="1:20" ht="18.75" x14ac:dyDescent="0.3">
      <c r="A1" s="5" t="s">
        <v>105</v>
      </c>
    </row>
    <row r="2" spans="1:20" x14ac:dyDescent="0.25">
      <c r="A2" s="1"/>
    </row>
    <row r="3" spans="1:20" s="2" customFormat="1" ht="45.95" customHeight="1" x14ac:dyDescent="0.25">
      <c r="A3" s="8" t="s">
        <v>101</v>
      </c>
      <c r="B3" s="9" t="s">
        <v>95</v>
      </c>
      <c r="C3" s="9"/>
      <c r="D3" s="9"/>
      <c r="E3" s="9"/>
      <c r="F3" s="9" t="s">
        <v>102</v>
      </c>
      <c r="G3" s="9"/>
      <c r="H3" s="9"/>
      <c r="I3" s="9" t="s">
        <v>96</v>
      </c>
      <c r="J3" s="9"/>
      <c r="K3" s="9"/>
      <c r="L3" s="9" t="s">
        <v>103</v>
      </c>
      <c r="M3" s="9"/>
      <c r="N3" s="9"/>
      <c r="O3" s="9" t="s">
        <v>100</v>
      </c>
      <c r="P3" s="9"/>
      <c r="Q3" s="9"/>
      <c r="R3" s="9" t="s">
        <v>104</v>
      </c>
      <c r="S3" s="9" t="s">
        <v>108</v>
      </c>
      <c r="T3" s="9"/>
    </row>
    <row r="4" spans="1:20" s="2" customFormat="1" ht="30" x14ac:dyDescent="0.25">
      <c r="A4" s="8"/>
      <c r="B4" s="7" t="s">
        <v>97</v>
      </c>
      <c r="C4" s="7" t="s">
        <v>98</v>
      </c>
      <c r="D4" s="7" t="s">
        <v>99</v>
      </c>
      <c r="E4" s="7" t="s">
        <v>94</v>
      </c>
      <c r="F4" s="7" t="s">
        <v>93</v>
      </c>
      <c r="G4" s="7" t="s">
        <v>92</v>
      </c>
      <c r="H4" s="7" t="s">
        <v>94</v>
      </c>
      <c r="I4" s="7" t="s">
        <v>93</v>
      </c>
      <c r="J4" s="7" t="s">
        <v>92</v>
      </c>
      <c r="K4" s="7" t="s">
        <v>94</v>
      </c>
      <c r="L4" s="7" t="s">
        <v>93</v>
      </c>
      <c r="M4" s="7" t="s">
        <v>92</v>
      </c>
      <c r="N4" s="7" t="s">
        <v>94</v>
      </c>
      <c r="O4" s="7" t="s">
        <v>93</v>
      </c>
      <c r="P4" s="7" t="s">
        <v>92</v>
      </c>
      <c r="Q4" s="7" t="s">
        <v>94</v>
      </c>
      <c r="R4" s="9"/>
      <c r="S4" s="7" t="s">
        <v>106</v>
      </c>
      <c r="T4" s="7" t="s">
        <v>107</v>
      </c>
    </row>
    <row r="5" spans="1:20" x14ac:dyDescent="0.25">
      <c r="A5" s="3" t="s">
        <v>0</v>
      </c>
      <c r="B5" s="4">
        <v>5383</v>
      </c>
      <c r="C5" s="4">
        <v>289</v>
      </c>
      <c r="D5" s="4">
        <v>3154</v>
      </c>
      <c r="E5" s="4">
        <v>8826</v>
      </c>
      <c r="F5" s="4">
        <v>1026</v>
      </c>
      <c r="G5" s="4">
        <v>1029</v>
      </c>
      <c r="H5" s="4">
        <f t="shared" ref="H5:H68" si="0">F5+G5</f>
        <v>2055</v>
      </c>
      <c r="I5" s="4">
        <v>154</v>
      </c>
      <c r="J5" s="4">
        <v>137</v>
      </c>
      <c r="K5" s="4">
        <v>291</v>
      </c>
      <c r="L5" s="4">
        <v>1911</v>
      </c>
      <c r="M5" s="4">
        <v>1938</v>
      </c>
      <c r="N5" s="4">
        <f t="shared" ref="N5:N68" si="1">L5+M5</f>
        <v>3849</v>
      </c>
      <c r="O5" s="4">
        <v>224</v>
      </c>
      <c r="P5" s="4">
        <v>450</v>
      </c>
      <c r="Q5" s="4">
        <v>674</v>
      </c>
      <c r="R5" s="6">
        <f>C5/(B5+C5)</f>
        <v>5.0952045133991535E-2</v>
      </c>
      <c r="S5" s="6">
        <f>K5/H5</f>
        <v>0.14160583941605839</v>
      </c>
      <c r="T5" s="6">
        <f>Q5/N5</f>
        <v>0.17511041829046506</v>
      </c>
    </row>
    <row r="6" spans="1:20" x14ac:dyDescent="0.25">
      <c r="A6" s="3" t="s">
        <v>1</v>
      </c>
      <c r="B6" s="4">
        <v>4575</v>
      </c>
      <c r="C6" s="4">
        <v>187</v>
      </c>
      <c r="D6" s="4">
        <v>2909</v>
      </c>
      <c r="E6" s="4">
        <v>7671</v>
      </c>
      <c r="F6" s="4">
        <v>753</v>
      </c>
      <c r="G6" s="4">
        <v>827</v>
      </c>
      <c r="H6" s="4">
        <f t="shared" si="0"/>
        <v>1580</v>
      </c>
      <c r="I6" s="4">
        <v>123</v>
      </c>
      <c r="J6" s="4">
        <v>117</v>
      </c>
      <c r="K6" s="4">
        <v>240</v>
      </c>
      <c r="L6" s="4">
        <v>1611</v>
      </c>
      <c r="M6" s="4">
        <v>1664</v>
      </c>
      <c r="N6" s="4">
        <f t="shared" si="1"/>
        <v>3275</v>
      </c>
      <c r="O6" s="4">
        <v>203</v>
      </c>
      <c r="P6" s="4">
        <v>405</v>
      </c>
      <c r="Q6" s="4">
        <v>608</v>
      </c>
      <c r="R6" s="6">
        <f t="shared" ref="R6:R69" si="2">C6/(B6+C6)</f>
        <v>3.9269214615707683E-2</v>
      </c>
      <c r="S6" s="6">
        <f t="shared" ref="S6:S69" si="3">K6/H6</f>
        <v>0.15189873417721519</v>
      </c>
      <c r="T6" s="6">
        <f t="shared" ref="T6:T69" si="4">Q6/N6</f>
        <v>0.18564885496183206</v>
      </c>
    </row>
    <row r="7" spans="1:20" x14ac:dyDescent="0.25">
      <c r="A7" s="3" t="s">
        <v>2</v>
      </c>
      <c r="B7" s="4">
        <v>3368</v>
      </c>
      <c r="C7" s="4">
        <v>166</v>
      </c>
      <c r="D7" s="4">
        <v>1778</v>
      </c>
      <c r="E7" s="4">
        <v>5312</v>
      </c>
      <c r="F7" s="4">
        <v>544</v>
      </c>
      <c r="G7" s="4">
        <v>600</v>
      </c>
      <c r="H7" s="4">
        <f t="shared" si="0"/>
        <v>1144</v>
      </c>
      <c r="I7" s="4">
        <v>62</v>
      </c>
      <c r="J7" s="4">
        <v>86</v>
      </c>
      <c r="K7" s="4">
        <v>148</v>
      </c>
      <c r="L7" s="4">
        <v>1144</v>
      </c>
      <c r="M7" s="4">
        <v>1222</v>
      </c>
      <c r="N7" s="4">
        <f t="shared" si="1"/>
        <v>2366</v>
      </c>
      <c r="O7" s="4">
        <v>106</v>
      </c>
      <c r="P7" s="4">
        <v>300</v>
      </c>
      <c r="Q7" s="4">
        <v>406</v>
      </c>
      <c r="R7" s="6">
        <f t="shared" si="2"/>
        <v>4.6972269383135257E-2</v>
      </c>
      <c r="S7" s="6">
        <f t="shared" si="3"/>
        <v>0.12937062937062938</v>
      </c>
      <c r="T7" s="6">
        <f t="shared" si="4"/>
        <v>0.17159763313609466</v>
      </c>
    </row>
    <row r="8" spans="1:20" x14ac:dyDescent="0.25">
      <c r="A8" s="3" t="s">
        <v>3</v>
      </c>
      <c r="B8" s="4">
        <v>3464</v>
      </c>
      <c r="C8" s="4">
        <v>201</v>
      </c>
      <c r="D8" s="4">
        <v>1804</v>
      </c>
      <c r="E8" s="4">
        <v>5469</v>
      </c>
      <c r="F8" s="4">
        <v>607</v>
      </c>
      <c r="G8" s="4">
        <v>553</v>
      </c>
      <c r="H8" s="4">
        <f t="shared" si="0"/>
        <v>1160</v>
      </c>
      <c r="I8" s="4">
        <v>73</v>
      </c>
      <c r="J8" s="4">
        <v>69</v>
      </c>
      <c r="K8" s="4">
        <v>142</v>
      </c>
      <c r="L8" s="4">
        <v>1232</v>
      </c>
      <c r="M8" s="4">
        <v>1135</v>
      </c>
      <c r="N8" s="4">
        <f t="shared" si="1"/>
        <v>2367</v>
      </c>
      <c r="O8" s="4">
        <v>113</v>
      </c>
      <c r="P8" s="4">
        <v>251</v>
      </c>
      <c r="Q8" s="4">
        <v>364</v>
      </c>
      <c r="R8" s="6">
        <f t="shared" si="2"/>
        <v>5.4843110504774896E-2</v>
      </c>
      <c r="S8" s="6">
        <f t="shared" si="3"/>
        <v>0.12241379310344827</v>
      </c>
      <c r="T8" s="6">
        <f t="shared" si="4"/>
        <v>0.15378115758343897</v>
      </c>
    </row>
    <row r="9" spans="1:20" x14ac:dyDescent="0.25">
      <c r="A9" s="3" t="s">
        <v>4</v>
      </c>
      <c r="B9" s="4">
        <v>2449</v>
      </c>
      <c r="C9" s="4">
        <v>123</v>
      </c>
      <c r="D9" s="4">
        <v>1258</v>
      </c>
      <c r="E9" s="4">
        <v>3830</v>
      </c>
      <c r="F9" s="4">
        <v>374</v>
      </c>
      <c r="G9" s="4">
        <v>396</v>
      </c>
      <c r="H9" s="4">
        <f t="shared" si="0"/>
        <v>770</v>
      </c>
      <c r="I9" s="4">
        <v>51</v>
      </c>
      <c r="J9" s="4">
        <v>66</v>
      </c>
      <c r="K9" s="4">
        <v>117</v>
      </c>
      <c r="L9" s="4">
        <v>858</v>
      </c>
      <c r="M9" s="4">
        <v>861</v>
      </c>
      <c r="N9" s="4">
        <f t="shared" si="1"/>
        <v>1719</v>
      </c>
      <c r="O9" s="4">
        <v>81</v>
      </c>
      <c r="P9" s="4">
        <v>222</v>
      </c>
      <c r="Q9" s="4">
        <v>303</v>
      </c>
      <c r="R9" s="6">
        <f t="shared" si="2"/>
        <v>4.7822706065318819E-2</v>
      </c>
      <c r="S9" s="6">
        <f t="shared" si="3"/>
        <v>0.15194805194805194</v>
      </c>
      <c r="T9" s="6">
        <f t="shared" si="4"/>
        <v>0.17626527050610821</v>
      </c>
    </row>
    <row r="10" spans="1:20" x14ac:dyDescent="0.25">
      <c r="A10" s="3" t="s">
        <v>5</v>
      </c>
      <c r="B10" s="4">
        <v>3854</v>
      </c>
      <c r="C10" s="4">
        <v>285</v>
      </c>
      <c r="D10" s="4">
        <v>2069</v>
      </c>
      <c r="E10" s="4">
        <v>6208</v>
      </c>
      <c r="F10" s="4">
        <v>686</v>
      </c>
      <c r="G10" s="4">
        <v>659</v>
      </c>
      <c r="H10" s="4">
        <f t="shared" si="0"/>
        <v>1345</v>
      </c>
      <c r="I10" s="4">
        <v>111</v>
      </c>
      <c r="J10" s="4">
        <v>140</v>
      </c>
      <c r="K10" s="4">
        <v>251</v>
      </c>
      <c r="L10" s="4">
        <v>1409</v>
      </c>
      <c r="M10" s="4">
        <v>1423</v>
      </c>
      <c r="N10" s="4">
        <f t="shared" si="1"/>
        <v>2832</v>
      </c>
      <c r="O10" s="4">
        <v>128</v>
      </c>
      <c r="P10" s="4">
        <v>395</v>
      </c>
      <c r="Q10" s="4">
        <v>523</v>
      </c>
      <c r="R10" s="6">
        <f t="shared" si="2"/>
        <v>6.8857211886929212E-2</v>
      </c>
      <c r="S10" s="6">
        <f t="shared" si="3"/>
        <v>0.18661710037174722</v>
      </c>
      <c r="T10" s="6">
        <f t="shared" si="4"/>
        <v>0.18467514124293785</v>
      </c>
    </row>
    <row r="11" spans="1:20" x14ac:dyDescent="0.25">
      <c r="A11" s="3" t="s">
        <v>6</v>
      </c>
      <c r="B11" s="4">
        <v>8422</v>
      </c>
      <c r="C11" s="4">
        <v>556</v>
      </c>
      <c r="D11" s="4">
        <v>4750</v>
      </c>
      <c r="E11" s="4">
        <v>13728</v>
      </c>
      <c r="F11" s="4">
        <v>1464</v>
      </c>
      <c r="G11" s="4">
        <v>1400</v>
      </c>
      <c r="H11" s="4">
        <f t="shared" si="0"/>
        <v>2864</v>
      </c>
      <c r="I11" s="4">
        <v>276</v>
      </c>
      <c r="J11" s="4">
        <v>259</v>
      </c>
      <c r="K11" s="4">
        <v>535</v>
      </c>
      <c r="L11" s="4">
        <v>2840</v>
      </c>
      <c r="M11" s="4">
        <v>2883</v>
      </c>
      <c r="N11" s="4">
        <f t="shared" si="1"/>
        <v>5723</v>
      </c>
      <c r="O11" s="4">
        <v>339</v>
      </c>
      <c r="P11" s="4">
        <v>846</v>
      </c>
      <c r="Q11" s="4">
        <v>1185</v>
      </c>
      <c r="R11" s="6">
        <f t="shared" si="2"/>
        <v>6.1929160169302742E-2</v>
      </c>
      <c r="S11" s="6">
        <f t="shared" si="3"/>
        <v>0.18680167597765363</v>
      </c>
      <c r="T11" s="6">
        <f t="shared" si="4"/>
        <v>0.20705923466713264</v>
      </c>
    </row>
    <row r="12" spans="1:20" x14ac:dyDescent="0.25">
      <c r="A12" s="3" t="s">
        <v>7</v>
      </c>
      <c r="B12" s="4">
        <v>12088</v>
      </c>
      <c r="C12" s="4">
        <v>937</v>
      </c>
      <c r="D12" s="4">
        <v>6158</v>
      </c>
      <c r="E12" s="4">
        <v>19183</v>
      </c>
      <c r="F12" s="4">
        <v>1991</v>
      </c>
      <c r="G12" s="4">
        <v>1935</v>
      </c>
      <c r="H12" s="4">
        <f t="shared" si="0"/>
        <v>3926</v>
      </c>
      <c r="I12" s="4">
        <v>423</v>
      </c>
      <c r="J12" s="4">
        <v>369</v>
      </c>
      <c r="K12" s="4">
        <v>792</v>
      </c>
      <c r="L12" s="4">
        <v>4089</v>
      </c>
      <c r="M12" s="4">
        <v>4394</v>
      </c>
      <c r="N12" s="4">
        <f t="shared" si="1"/>
        <v>8483</v>
      </c>
      <c r="O12" s="4">
        <v>508</v>
      </c>
      <c r="P12" s="4">
        <v>1342</v>
      </c>
      <c r="Q12" s="4">
        <v>1850</v>
      </c>
      <c r="R12" s="6">
        <f t="shared" si="2"/>
        <v>7.1938579654510559E-2</v>
      </c>
      <c r="S12" s="6">
        <f t="shared" si="3"/>
        <v>0.20173204279164544</v>
      </c>
      <c r="T12" s="6">
        <f t="shared" si="4"/>
        <v>0.21808322527407756</v>
      </c>
    </row>
    <row r="13" spans="1:20" x14ac:dyDescent="0.25">
      <c r="A13" s="3" t="s">
        <v>8</v>
      </c>
      <c r="B13" s="4">
        <v>3417</v>
      </c>
      <c r="C13" s="4">
        <v>141</v>
      </c>
      <c r="D13" s="4">
        <v>1685</v>
      </c>
      <c r="E13" s="4">
        <v>5243</v>
      </c>
      <c r="F13" s="4">
        <v>566</v>
      </c>
      <c r="G13" s="4">
        <v>576</v>
      </c>
      <c r="H13" s="4">
        <f t="shared" si="0"/>
        <v>1142</v>
      </c>
      <c r="I13" s="4">
        <v>61</v>
      </c>
      <c r="J13" s="4">
        <v>78</v>
      </c>
      <c r="K13" s="4">
        <v>139</v>
      </c>
      <c r="L13" s="4">
        <v>1284</v>
      </c>
      <c r="M13" s="4">
        <v>1194</v>
      </c>
      <c r="N13" s="4">
        <f t="shared" si="1"/>
        <v>2478</v>
      </c>
      <c r="O13" s="4">
        <v>123</v>
      </c>
      <c r="P13" s="4">
        <v>261</v>
      </c>
      <c r="Q13" s="4">
        <v>384</v>
      </c>
      <c r="R13" s="6">
        <f t="shared" si="2"/>
        <v>3.9629005059021921E-2</v>
      </c>
      <c r="S13" s="6">
        <f t="shared" si="3"/>
        <v>0.12171628721541156</v>
      </c>
      <c r="T13" s="6">
        <f t="shared" si="4"/>
        <v>0.15496368038740921</v>
      </c>
    </row>
    <row r="14" spans="1:20" x14ac:dyDescent="0.25">
      <c r="A14" s="3" t="s">
        <v>9</v>
      </c>
      <c r="B14" s="4">
        <v>4780</v>
      </c>
      <c r="C14" s="4">
        <v>204</v>
      </c>
      <c r="D14" s="4">
        <v>2572</v>
      </c>
      <c r="E14" s="4">
        <v>7556</v>
      </c>
      <c r="F14" s="4">
        <v>717</v>
      </c>
      <c r="G14" s="4">
        <v>763</v>
      </c>
      <c r="H14" s="4">
        <f t="shared" si="0"/>
        <v>1480</v>
      </c>
      <c r="I14" s="4">
        <v>98</v>
      </c>
      <c r="J14" s="4">
        <v>109</v>
      </c>
      <c r="K14" s="4">
        <v>207</v>
      </c>
      <c r="L14" s="4">
        <v>1653</v>
      </c>
      <c r="M14" s="4">
        <v>1723</v>
      </c>
      <c r="N14" s="4">
        <f t="shared" si="1"/>
        <v>3376</v>
      </c>
      <c r="O14" s="4">
        <v>132</v>
      </c>
      <c r="P14" s="4">
        <v>419</v>
      </c>
      <c r="Q14" s="4">
        <v>551</v>
      </c>
      <c r="R14" s="6">
        <f t="shared" si="2"/>
        <v>4.0930979133226325E-2</v>
      </c>
      <c r="S14" s="6">
        <f t="shared" si="3"/>
        <v>0.13986486486486485</v>
      </c>
      <c r="T14" s="6">
        <f t="shared" si="4"/>
        <v>0.16321090047393366</v>
      </c>
    </row>
    <row r="15" spans="1:20" x14ac:dyDescent="0.25">
      <c r="A15" s="3" t="s">
        <v>10</v>
      </c>
      <c r="B15" s="4">
        <v>3815</v>
      </c>
      <c r="C15" s="4">
        <v>266</v>
      </c>
      <c r="D15" s="4">
        <v>2101</v>
      </c>
      <c r="E15" s="4">
        <v>6182</v>
      </c>
      <c r="F15" s="4">
        <v>641</v>
      </c>
      <c r="G15" s="4">
        <v>838</v>
      </c>
      <c r="H15" s="4">
        <f t="shared" si="0"/>
        <v>1479</v>
      </c>
      <c r="I15" s="4">
        <v>107</v>
      </c>
      <c r="J15" s="4">
        <v>129</v>
      </c>
      <c r="K15" s="4">
        <v>236</v>
      </c>
      <c r="L15" s="4">
        <v>1376</v>
      </c>
      <c r="M15" s="4">
        <v>1507</v>
      </c>
      <c r="N15" s="4">
        <f t="shared" si="1"/>
        <v>2883</v>
      </c>
      <c r="O15" s="4">
        <v>160</v>
      </c>
      <c r="P15" s="4">
        <v>343</v>
      </c>
      <c r="Q15" s="4">
        <v>503</v>
      </c>
      <c r="R15" s="6">
        <f t="shared" si="2"/>
        <v>6.5180102915951971E-2</v>
      </c>
      <c r="S15" s="6">
        <f t="shared" si="3"/>
        <v>0.15956727518593644</v>
      </c>
      <c r="T15" s="6">
        <f t="shared" si="4"/>
        <v>0.17447103711411724</v>
      </c>
    </row>
    <row r="16" spans="1:20" x14ac:dyDescent="0.25">
      <c r="A16" s="3" t="s">
        <v>11</v>
      </c>
      <c r="B16" s="4">
        <v>4612</v>
      </c>
      <c r="C16" s="4">
        <v>221</v>
      </c>
      <c r="D16" s="4">
        <v>2643</v>
      </c>
      <c r="E16" s="4">
        <v>7476</v>
      </c>
      <c r="F16" s="4">
        <v>777</v>
      </c>
      <c r="G16" s="4">
        <v>819</v>
      </c>
      <c r="H16" s="4">
        <f t="shared" si="0"/>
        <v>1596</v>
      </c>
      <c r="I16" s="4">
        <v>120</v>
      </c>
      <c r="J16" s="4">
        <v>113</v>
      </c>
      <c r="K16" s="4">
        <v>233</v>
      </c>
      <c r="L16" s="4">
        <v>1699</v>
      </c>
      <c r="M16" s="4">
        <v>1627</v>
      </c>
      <c r="N16" s="4">
        <f t="shared" si="1"/>
        <v>3326</v>
      </c>
      <c r="O16" s="4">
        <v>180</v>
      </c>
      <c r="P16" s="4">
        <v>354</v>
      </c>
      <c r="Q16" s="4">
        <v>534</v>
      </c>
      <c r="R16" s="6">
        <f t="shared" si="2"/>
        <v>4.5727291537347406E-2</v>
      </c>
      <c r="S16" s="6">
        <f t="shared" si="3"/>
        <v>0.14598997493734336</v>
      </c>
      <c r="T16" s="6">
        <f t="shared" si="4"/>
        <v>0.16055321707757064</v>
      </c>
    </row>
    <row r="17" spans="1:20" x14ac:dyDescent="0.25">
      <c r="A17" s="3" t="s">
        <v>12</v>
      </c>
      <c r="B17" s="4">
        <v>3348</v>
      </c>
      <c r="C17" s="4">
        <v>236</v>
      </c>
      <c r="D17" s="4">
        <v>1935</v>
      </c>
      <c r="E17" s="4">
        <v>5519</v>
      </c>
      <c r="F17" s="4">
        <v>594</v>
      </c>
      <c r="G17" s="4">
        <v>648</v>
      </c>
      <c r="H17" s="4">
        <f t="shared" si="0"/>
        <v>1242</v>
      </c>
      <c r="I17" s="4">
        <v>123</v>
      </c>
      <c r="J17" s="4">
        <v>95</v>
      </c>
      <c r="K17" s="4">
        <v>218</v>
      </c>
      <c r="L17" s="4">
        <v>1285</v>
      </c>
      <c r="M17" s="4">
        <v>1240</v>
      </c>
      <c r="N17" s="4">
        <f t="shared" si="1"/>
        <v>2525</v>
      </c>
      <c r="O17" s="4">
        <v>202</v>
      </c>
      <c r="P17" s="4">
        <v>301</v>
      </c>
      <c r="Q17" s="4">
        <v>503</v>
      </c>
      <c r="R17" s="6">
        <f t="shared" si="2"/>
        <v>6.5848214285714288E-2</v>
      </c>
      <c r="S17" s="6">
        <f t="shared" si="3"/>
        <v>0.17552334943639292</v>
      </c>
      <c r="T17" s="6">
        <f t="shared" si="4"/>
        <v>0.19920792079207922</v>
      </c>
    </row>
    <row r="18" spans="1:20" x14ac:dyDescent="0.25">
      <c r="A18" s="3" t="s">
        <v>13</v>
      </c>
      <c r="B18" s="4">
        <v>3671</v>
      </c>
      <c r="C18" s="4">
        <v>149</v>
      </c>
      <c r="D18" s="4">
        <v>2098</v>
      </c>
      <c r="E18" s="4">
        <v>5918</v>
      </c>
      <c r="F18" s="4">
        <v>594</v>
      </c>
      <c r="G18" s="4">
        <v>711</v>
      </c>
      <c r="H18" s="4">
        <f t="shared" si="0"/>
        <v>1305</v>
      </c>
      <c r="I18" s="4">
        <v>80</v>
      </c>
      <c r="J18" s="4">
        <v>87</v>
      </c>
      <c r="K18" s="4">
        <v>167</v>
      </c>
      <c r="L18" s="4">
        <v>1235</v>
      </c>
      <c r="M18" s="4">
        <v>1380</v>
      </c>
      <c r="N18" s="4">
        <f t="shared" si="1"/>
        <v>2615</v>
      </c>
      <c r="O18" s="4">
        <v>126</v>
      </c>
      <c r="P18" s="4">
        <v>283</v>
      </c>
      <c r="Q18" s="4">
        <v>409</v>
      </c>
      <c r="R18" s="6">
        <f t="shared" si="2"/>
        <v>3.9005235602094242E-2</v>
      </c>
      <c r="S18" s="6">
        <f t="shared" si="3"/>
        <v>0.12796934865900383</v>
      </c>
      <c r="T18" s="6">
        <f t="shared" si="4"/>
        <v>0.15640535372848949</v>
      </c>
    </row>
    <row r="19" spans="1:20" x14ac:dyDescent="0.25">
      <c r="A19" s="3" t="s">
        <v>14</v>
      </c>
      <c r="B19" s="4">
        <v>2791</v>
      </c>
      <c r="C19" s="4">
        <v>127</v>
      </c>
      <c r="D19" s="4">
        <v>1700</v>
      </c>
      <c r="E19" s="4">
        <v>4618</v>
      </c>
      <c r="F19" s="4">
        <v>487</v>
      </c>
      <c r="G19" s="4">
        <v>531</v>
      </c>
      <c r="H19" s="4">
        <f t="shared" si="0"/>
        <v>1018</v>
      </c>
      <c r="I19" s="4">
        <v>53</v>
      </c>
      <c r="J19" s="4">
        <v>67</v>
      </c>
      <c r="K19" s="4">
        <v>120</v>
      </c>
      <c r="L19" s="4">
        <v>966</v>
      </c>
      <c r="M19" s="4">
        <v>1041</v>
      </c>
      <c r="N19" s="4">
        <f t="shared" si="1"/>
        <v>2007</v>
      </c>
      <c r="O19" s="4">
        <v>93</v>
      </c>
      <c r="P19" s="4">
        <v>228</v>
      </c>
      <c r="Q19" s="4">
        <v>321</v>
      </c>
      <c r="R19" s="6">
        <f t="shared" si="2"/>
        <v>4.3522960932145305E-2</v>
      </c>
      <c r="S19" s="6">
        <f t="shared" si="3"/>
        <v>0.11787819253438114</v>
      </c>
      <c r="T19" s="6">
        <f t="shared" si="4"/>
        <v>0.15994020926756353</v>
      </c>
    </row>
    <row r="20" spans="1:20" x14ac:dyDescent="0.25">
      <c r="A20" s="3" t="s">
        <v>15</v>
      </c>
      <c r="B20" s="4">
        <v>3064</v>
      </c>
      <c r="C20" s="4">
        <v>198</v>
      </c>
      <c r="D20" s="4">
        <v>1524</v>
      </c>
      <c r="E20" s="4">
        <v>4786</v>
      </c>
      <c r="F20" s="4">
        <v>461</v>
      </c>
      <c r="G20" s="4">
        <v>500</v>
      </c>
      <c r="H20" s="4">
        <f t="shared" si="0"/>
        <v>961</v>
      </c>
      <c r="I20" s="4">
        <v>72</v>
      </c>
      <c r="J20" s="4">
        <v>79</v>
      </c>
      <c r="K20" s="4">
        <v>151</v>
      </c>
      <c r="L20" s="4">
        <v>1092</v>
      </c>
      <c r="M20" s="4">
        <v>1071</v>
      </c>
      <c r="N20" s="4">
        <f t="shared" si="1"/>
        <v>2163</v>
      </c>
      <c r="O20" s="4">
        <v>106</v>
      </c>
      <c r="P20" s="4">
        <v>262</v>
      </c>
      <c r="Q20" s="4">
        <v>368</v>
      </c>
      <c r="R20" s="6">
        <f t="shared" si="2"/>
        <v>6.069895769466585E-2</v>
      </c>
      <c r="S20" s="6">
        <f t="shared" si="3"/>
        <v>0.1571279916753382</v>
      </c>
      <c r="T20" s="6">
        <f t="shared" si="4"/>
        <v>0.1701340730466944</v>
      </c>
    </row>
    <row r="21" spans="1:20" x14ac:dyDescent="0.25">
      <c r="A21" s="3" t="s">
        <v>16</v>
      </c>
      <c r="B21" s="4">
        <v>2733</v>
      </c>
      <c r="C21" s="4">
        <v>230</v>
      </c>
      <c r="D21" s="4">
        <v>1473</v>
      </c>
      <c r="E21" s="4">
        <v>4436</v>
      </c>
      <c r="F21" s="4">
        <v>458</v>
      </c>
      <c r="G21" s="4">
        <v>440</v>
      </c>
      <c r="H21" s="4">
        <f t="shared" si="0"/>
        <v>898</v>
      </c>
      <c r="I21" s="4">
        <v>79</v>
      </c>
      <c r="J21" s="4">
        <v>86</v>
      </c>
      <c r="K21" s="4">
        <v>165</v>
      </c>
      <c r="L21" s="4">
        <v>943</v>
      </c>
      <c r="M21" s="4">
        <v>1026</v>
      </c>
      <c r="N21" s="4">
        <f t="shared" si="1"/>
        <v>1969</v>
      </c>
      <c r="O21" s="4">
        <v>120</v>
      </c>
      <c r="P21" s="4">
        <v>334</v>
      </c>
      <c r="Q21" s="4">
        <v>454</v>
      </c>
      <c r="R21" s="6">
        <f t="shared" si="2"/>
        <v>7.7624029699628755E-2</v>
      </c>
      <c r="S21" s="6">
        <f t="shared" si="3"/>
        <v>0.18374164810690424</v>
      </c>
      <c r="T21" s="6">
        <f t="shared" si="4"/>
        <v>0.23057389537836465</v>
      </c>
    </row>
    <row r="22" spans="1:20" x14ac:dyDescent="0.25">
      <c r="A22" s="3" t="s">
        <v>17</v>
      </c>
      <c r="B22" s="4">
        <v>823</v>
      </c>
      <c r="C22" s="4">
        <v>52</v>
      </c>
      <c r="D22" s="4">
        <v>701</v>
      </c>
      <c r="E22" s="4">
        <v>1576</v>
      </c>
      <c r="F22" s="4">
        <v>102</v>
      </c>
      <c r="G22" s="4">
        <v>118</v>
      </c>
      <c r="H22" s="4">
        <f t="shared" si="0"/>
        <v>220</v>
      </c>
      <c r="I22" s="4">
        <v>23</v>
      </c>
      <c r="J22" s="4">
        <v>43</v>
      </c>
      <c r="K22" s="4">
        <v>66</v>
      </c>
      <c r="L22" s="4">
        <v>186</v>
      </c>
      <c r="M22" s="4">
        <v>364</v>
      </c>
      <c r="N22" s="4">
        <f t="shared" si="1"/>
        <v>550</v>
      </c>
      <c r="O22" s="4">
        <v>45</v>
      </c>
      <c r="P22" s="4">
        <v>177</v>
      </c>
      <c r="Q22" s="4">
        <v>222</v>
      </c>
      <c r="R22" s="6">
        <f t="shared" si="2"/>
        <v>5.9428571428571428E-2</v>
      </c>
      <c r="S22" s="6">
        <f t="shared" si="3"/>
        <v>0.3</v>
      </c>
      <c r="T22" s="6">
        <f t="shared" si="4"/>
        <v>0.40363636363636363</v>
      </c>
    </row>
    <row r="23" spans="1:20" x14ac:dyDescent="0.25">
      <c r="A23" s="3" t="s">
        <v>18</v>
      </c>
      <c r="B23" s="4">
        <v>936</v>
      </c>
      <c r="C23" s="4">
        <v>27</v>
      </c>
      <c r="D23" s="4">
        <v>1026</v>
      </c>
      <c r="E23" s="4">
        <v>1989</v>
      </c>
      <c r="F23" s="4">
        <v>134</v>
      </c>
      <c r="G23" s="4">
        <v>149</v>
      </c>
      <c r="H23" s="4">
        <f t="shared" si="0"/>
        <v>283</v>
      </c>
      <c r="I23" s="4">
        <v>22</v>
      </c>
      <c r="J23" s="4">
        <v>34</v>
      </c>
      <c r="K23" s="4">
        <v>56</v>
      </c>
      <c r="L23" s="4">
        <v>283</v>
      </c>
      <c r="M23" s="4">
        <v>460</v>
      </c>
      <c r="N23" s="4">
        <f t="shared" si="1"/>
        <v>743</v>
      </c>
      <c r="O23" s="4">
        <v>29</v>
      </c>
      <c r="P23" s="4">
        <v>241</v>
      </c>
      <c r="Q23" s="4">
        <v>270</v>
      </c>
      <c r="R23" s="6">
        <f t="shared" si="2"/>
        <v>2.8037383177570093E-2</v>
      </c>
      <c r="S23" s="6">
        <f t="shared" si="3"/>
        <v>0.19787985865724381</v>
      </c>
      <c r="T23" s="6">
        <f t="shared" si="4"/>
        <v>0.36339165545087482</v>
      </c>
    </row>
    <row r="24" spans="1:20" x14ac:dyDescent="0.25">
      <c r="A24" s="3" t="s">
        <v>19</v>
      </c>
      <c r="B24" s="4">
        <v>851</v>
      </c>
      <c r="C24" s="4">
        <v>53</v>
      </c>
      <c r="D24" s="4">
        <v>782</v>
      </c>
      <c r="E24" s="4">
        <v>1686</v>
      </c>
      <c r="F24" s="4">
        <v>93</v>
      </c>
      <c r="G24" s="4">
        <v>84</v>
      </c>
      <c r="H24" s="4">
        <f t="shared" si="0"/>
        <v>177</v>
      </c>
      <c r="I24" s="4">
        <v>23</v>
      </c>
      <c r="J24" s="4">
        <v>26</v>
      </c>
      <c r="K24" s="4">
        <v>49</v>
      </c>
      <c r="L24" s="4">
        <v>258</v>
      </c>
      <c r="M24" s="4">
        <v>317</v>
      </c>
      <c r="N24" s="4">
        <f t="shared" si="1"/>
        <v>575</v>
      </c>
      <c r="O24" s="4">
        <v>48</v>
      </c>
      <c r="P24" s="4">
        <v>156</v>
      </c>
      <c r="Q24" s="4">
        <v>204</v>
      </c>
      <c r="R24" s="6">
        <f t="shared" si="2"/>
        <v>5.8628318584070797E-2</v>
      </c>
      <c r="S24" s="6">
        <f t="shared" si="3"/>
        <v>0.2768361581920904</v>
      </c>
      <c r="T24" s="6">
        <f t="shared" si="4"/>
        <v>0.35478260869565215</v>
      </c>
    </row>
    <row r="25" spans="1:20" x14ac:dyDescent="0.25">
      <c r="A25" s="3" t="s">
        <v>20</v>
      </c>
      <c r="B25" s="4">
        <v>1149</v>
      </c>
      <c r="C25" s="4">
        <v>60</v>
      </c>
      <c r="D25" s="4">
        <v>1088</v>
      </c>
      <c r="E25" s="4">
        <v>2297</v>
      </c>
      <c r="F25" s="4">
        <v>178</v>
      </c>
      <c r="G25" s="4">
        <v>235</v>
      </c>
      <c r="H25" s="4">
        <f t="shared" si="0"/>
        <v>413</v>
      </c>
      <c r="I25" s="4">
        <v>30</v>
      </c>
      <c r="J25" s="4">
        <v>66</v>
      </c>
      <c r="K25" s="4">
        <v>96</v>
      </c>
      <c r="L25" s="4">
        <v>350</v>
      </c>
      <c r="M25" s="4">
        <v>574</v>
      </c>
      <c r="N25" s="4">
        <f t="shared" si="1"/>
        <v>924</v>
      </c>
      <c r="O25" s="4">
        <v>40</v>
      </c>
      <c r="P25" s="4">
        <v>282</v>
      </c>
      <c r="Q25" s="4">
        <v>322</v>
      </c>
      <c r="R25" s="6">
        <f t="shared" si="2"/>
        <v>4.9627791563275438E-2</v>
      </c>
      <c r="S25" s="6">
        <f t="shared" si="3"/>
        <v>0.23244552058111381</v>
      </c>
      <c r="T25" s="6">
        <f t="shared" si="4"/>
        <v>0.34848484848484851</v>
      </c>
    </row>
    <row r="26" spans="1:20" x14ac:dyDescent="0.25">
      <c r="A26" s="3" t="s">
        <v>21</v>
      </c>
      <c r="B26" s="4">
        <v>823</v>
      </c>
      <c r="C26" s="4">
        <v>51</v>
      </c>
      <c r="D26" s="4">
        <v>468</v>
      </c>
      <c r="E26" s="4">
        <v>1342</v>
      </c>
      <c r="F26" s="4">
        <v>90</v>
      </c>
      <c r="G26" s="4">
        <v>94</v>
      </c>
      <c r="H26" s="4">
        <f t="shared" si="0"/>
        <v>184</v>
      </c>
      <c r="I26" s="4">
        <v>22</v>
      </c>
      <c r="J26" s="4">
        <v>28</v>
      </c>
      <c r="K26" s="4">
        <v>50</v>
      </c>
      <c r="L26" s="4">
        <v>157</v>
      </c>
      <c r="M26" s="4">
        <v>247</v>
      </c>
      <c r="N26" s="4">
        <f t="shared" si="1"/>
        <v>404</v>
      </c>
      <c r="O26" s="4">
        <v>22</v>
      </c>
      <c r="P26" s="4">
        <v>101</v>
      </c>
      <c r="Q26" s="4">
        <v>123</v>
      </c>
      <c r="R26" s="6">
        <f t="shared" si="2"/>
        <v>5.8352402745995423E-2</v>
      </c>
      <c r="S26" s="6">
        <f t="shared" si="3"/>
        <v>0.27173913043478259</v>
      </c>
      <c r="T26" s="6">
        <f t="shared" si="4"/>
        <v>0.30445544554455445</v>
      </c>
    </row>
    <row r="27" spans="1:20" x14ac:dyDescent="0.25">
      <c r="A27" s="3" t="s">
        <v>22</v>
      </c>
      <c r="B27" s="4">
        <v>1178</v>
      </c>
      <c r="C27" s="4">
        <v>35</v>
      </c>
      <c r="D27" s="4">
        <v>843</v>
      </c>
      <c r="E27" s="4">
        <v>2056</v>
      </c>
      <c r="F27" s="4">
        <v>149</v>
      </c>
      <c r="G27" s="4">
        <v>163</v>
      </c>
      <c r="H27" s="4">
        <f t="shared" si="0"/>
        <v>312</v>
      </c>
      <c r="I27" s="4">
        <v>32</v>
      </c>
      <c r="J27" s="4">
        <v>55</v>
      </c>
      <c r="K27" s="4">
        <v>87</v>
      </c>
      <c r="L27" s="4">
        <v>331</v>
      </c>
      <c r="M27" s="4">
        <v>481</v>
      </c>
      <c r="N27" s="4">
        <f t="shared" si="1"/>
        <v>812</v>
      </c>
      <c r="O27" s="4">
        <v>43</v>
      </c>
      <c r="P27" s="4">
        <v>228</v>
      </c>
      <c r="Q27" s="4">
        <v>271</v>
      </c>
      <c r="R27" s="6">
        <f t="shared" si="2"/>
        <v>2.8854080791426217E-2</v>
      </c>
      <c r="S27" s="6">
        <f t="shared" si="3"/>
        <v>0.27884615384615385</v>
      </c>
      <c r="T27" s="6">
        <f t="shared" si="4"/>
        <v>0.33374384236453203</v>
      </c>
    </row>
    <row r="28" spans="1:20" x14ac:dyDescent="0.25">
      <c r="A28" s="3" t="s">
        <v>23</v>
      </c>
      <c r="B28" s="4">
        <v>1685</v>
      </c>
      <c r="C28" s="4">
        <v>77</v>
      </c>
      <c r="D28" s="4">
        <v>1324</v>
      </c>
      <c r="E28" s="4">
        <v>3086</v>
      </c>
      <c r="F28" s="4">
        <v>272</v>
      </c>
      <c r="G28" s="4">
        <v>342</v>
      </c>
      <c r="H28" s="4">
        <f t="shared" si="0"/>
        <v>614</v>
      </c>
      <c r="I28" s="4">
        <v>43</v>
      </c>
      <c r="J28" s="4">
        <v>66</v>
      </c>
      <c r="K28" s="4">
        <v>109</v>
      </c>
      <c r="L28" s="4">
        <v>485</v>
      </c>
      <c r="M28" s="4">
        <v>728</v>
      </c>
      <c r="N28" s="4">
        <f t="shared" si="1"/>
        <v>1213</v>
      </c>
      <c r="O28" s="4">
        <v>63</v>
      </c>
      <c r="P28" s="4">
        <v>286</v>
      </c>
      <c r="Q28" s="4">
        <v>349</v>
      </c>
      <c r="R28" s="6">
        <f t="shared" si="2"/>
        <v>4.3700340522133937E-2</v>
      </c>
      <c r="S28" s="6">
        <f t="shared" si="3"/>
        <v>0.17752442996742671</v>
      </c>
      <c r="T28" s="6">
        <f t="shared" si="4"/>
        <v>0.2877164056059357</v>
      </c>
    </row>
    <row r="29" spans="1:20" x14ac:dyDescent="0.25">
      <c r="A29" s="3" t="s">
        <v>24</v>
      </c>
      <c r="B29" s="4">
        <v>1527</v>
      </c>
      <c r="C29" s="4">
        <v>95</v>
      </c>
      <c r="D29" s="4">
        <v>1545</v>
      </c>
      <c r="E29" s="4">
        <v>3167</v>
      </c>
      <c r="F29" s="4">
        <v>260</v>
      </c>
      <c r="G29" s="4">
        <v>415</v>
      </c>
      <c r="H29" s="4">
        <f t="shared" si="0"/>
        <v>675</v>
      </c>
      <c r="I29" s="4">
        <v>45</v>
      </c>
      <c r="J29" s="4">
        <v>109</v>
      </c>
      <c r="K29" s="4">
        <v>154</v>
      </c>
      <c r="L29" s="4">
        <v>486</v>
      </c>
      <c r="M29" s="4">
        <v>831</v>
      </c>
      <c r="N29" s="4">
        <f t="shared" si="1"/>
        <v>1317</v>
      </c>
      <c r="O29" s="4">
        <v>75</v>
      </c>
      <c r="P29" s="4">
        <v>364</v>
      </c>
      <c r="Q29" s="4">
        <v>439</v>
      </c>
      <c r="R29" s="6">
        <f t="shared" si="2"/>
        <v>5.8569667077681874E-2</v>
      </c>
      <c r="S29" s="6">
        <f t="shared" si="3"/>
        <v>0.22814814814814816</v>
      </c>
      <c r="T29" s="6">
        <f t="shared" si="4"/>
        <v>0.33333333333333331</v>
      </c>
    </row>
    <row r="30" spans="1:20" x14ac:dyDescent="0.25">
      <c r="A30" s="3" t="s">
        <v>25</v>
      </c>
      <c r="B30" s="4">
        <v>945</v>
      </c>
      <c r="C30" s="4">
        <v>49</v>
      </c>
      <c r="D30" s="4">
        <v>822</v>
      </c>
      <c r="E30" s="4">
        <v>1816</v>
      </c>
      <c r="F30" s="4">
        <v>112</v>
      </c>
      <c r="G30" s="4">
        <v>159</v>
      </c>
      <c r="H30" s="4">
        <f t="shared" si="0"/>
        <v>271</v>
      </c>
      <c r="I30" s="4">
        <v>25</v>
      </c>
      <c r="J30" s="4">
        <v>49</v>
      </c>
      <c r="K30" s="4">
        <v>74</v>
      </c>
      <c r="L30" s="4">
        <v>214</v>
      </c>
      <c r="M30" s="4">
        <v>410</v>
      </c>
      <c r="N30" s="4">
        <f t="shared" si="1"/>
        <v>624</v>
      </c>
      <c r="O30" s="4">
        <v>41</v>
      </c>
      <c r="P30" s="4">
        <v>198</v>
      </c>
      <c r="Q30" s="4">
        <v>239</v>
      </c>
      <c r="R30" s="6">
        <f t="shared" si="2"/>
        <v>4.9295774647887321E-2</v>
      </c>
      <c r="S30" s="6">
        <f t="shared" si="3"/>
        <v>0.27306273062730629</v>
      </c>
      <c r="T30" s="6">
        <f t="shared" si="4"/>
        <v>0.38301282051282054</v>
      </c>
    </row>
    <row r="31" spans="1:20" x14ac:dyDescent="0.25">
      <c r="A31" s="3" t="s">
        <v>26</v>
      </c>
      <c r="B31" s="4">
        <v>911</v>
      </c>
      <c r="C31" s="4">
        <v>103</v>
      </c>
      <c r="D31" s="4">
        <v>924</v>
      </c>
      <c r="E31" s="4">
        <v>1938</v>
      </c>
      <c r="F31" s="4">
        <v>134</v>
      </c>
      <c r="G31" s="4">
        <v>208</v>
      </c>
      <c r="H31" s="4">
        <f t="shared" si="0"/>
        <v>342</v>
      </c>
      <c r="I31" s="4">
        <v>43</v>
      </c>
      <c r="J31" s="4">
        <v>92</v>
      </c>
      <c r="K31" s="4">
        <v>135</v>
      </c>
      <c r="L31" s="4">
        <v>216</v>
      </c>
      <c r="M31" s="4">
        <v>479</v>
      </c>
      <c r="N31" s="4">
        <f t="shared" si="1"/>
        <v>695</v>
      </c>
      <c r="O31" s="4">
        <v>63</v>
      </c>
      <c r="P31" s="4">
        <v>279</v>
      </c>
      <c r="Q31" s="4">
        <v>342</v>
      </c>
      <c r="R31" s="6">
        <f t="shared" si="2"/>
        <v>0.10157790927021697</v>
      </c>
      <c r="S31" s="6">
        <f t="shared" si="3"/>
        <v>0.39473684210526316</v>
      </c>
      <c r="T31" s="6">
        <f t="shared" si="4"/>
        <v>0.49208633093525178</v>
      </c>
    </row>
    <row r="32" spans="1:20" x14ac:dyDescent="0.25">
      <c r="A32" s="3" t="s">
        <v>27</v>
      </c>
      <c r="B32" s="4">
        <v>828</v>
      </c>
      <c r="C32" s="4">
        <v>28</v>
      </c>
      <c r="D32" s="4">
        <v>568</v>
      </c>
      <c r="E32" s="4">
        <v>1424</v>
      </c>
      <c r="F32" s="4">
        <v>108</v>
      </c>
      <c r="G32" s="4">
        <v>114</v>
      </c>
      <c r="H32" s="4">
        <f t="shared" si="0"/>
        <v>222</v>
      </c>
      <c r="I32" s="4">
        <v>11</v>
      </c>
      <c r="J32" s="4">
        <v>28</v>
      </c>
      <c r="K32" s="4">
        <v>39</v>
      </c>
      <c r="L32" s="4">
        <v>194</v>
      </c>
      <c r="M32" s="4">
        <v>297</v>
      </c>
      <c r="N32" s="4">
        <f t="shared" si="1"/>
        <v>491</v>
      </c>
      <c r="O32" s="4">
        <v>30</v>
      </c>
      <c r="P32" s="4">
        <v>130</v>
      </c>
      <c r="Q32" s="4">
        <v>160</v>
      </c>
      <c r="R32" s="6">
        <f t="shared" si="2"/>
        <v>3.2710280373831772E-2</v>
      </c>
      <c r="S32" s="6">
        <f t="shared" si="3"/>
        <v>0.17567567567567569</v>
      </c>
      <c r="T32" s="6">
        <f t="shared" si="4"/>
        <v>0.32586558044806518</v>
      </c>
    </row>
    <row r="33" spans="1:20" x14ac:dyDescent="0.25">
      <c r="A33" s="3" t="s">
        <v>28</v>
      </c>
      <c r="B33" s="4">
        <v>1395</v>
      </c>
      <c r="C33" s="4">
        <v>81</v>
      </c>
      <c r="D33" s="4">
        <v>914</v>
      </c>
      <c r="E33" s="4">
        <v>2390</v>
      </c>
      <c r="F33" s="4">
        <v>186</v>
      </c>
      <c r="G33" s="4">
        <v>229</v>
      </c>
      <c r="H33" s="4">
        <f t="shared" si="0"/>
        <v>415</v>
      </c>
      <c r="I33" s="4">
        <v>46</v>
      </c>
      <c r="J33" s="4">
        <v>55</v>
      </c>
      <c r="K33" s="4">
        <v>101</v>
      </c>
      <c r="L33" s="4">
        <v>354</v>
      </c>
      <c r="M33" s="4">
        <v>510</v>
      </c>
      <c r="N33" s="4">
        <f t="shared" si="1"/>
        <v>864</v>
      </c>
      <c r="O33" s="4">
        <v>63</v>
      </c>
      <c r="P33" s="4">
        <v>209</v>
      </c>
      <c r="Q33" s="4">
        <v>272</v>
      </c>
      <c r="R33" s="6">
        <f t="shared" si="2"/>
        <v>5.4878048780487805E-2</v>
      </c>
      <c r="S33" s="6">
        <f t="shared" si="3"/>
        <v>0.2433734939759036</v>
      </c>
      <c r="T33" s="6">
        <f t="shared" si="4"/>
        <v>0.31481481481481483</v>
      </c>
    </row>
    <row r="34" spans="1:20" x14ac:dyDescent="0.25">
      <c r="A34" s="3" t="s">
        <v>29</v>
      </c>
      <c r="B34" s="4">
        <v>1253</v>
      </c>
      <c r="C34" s="4">
        <v>40</v>
      </c>
      <c r="D34" s="4">
        <v>897</v>
      </c>
      <c r="E34" s="4">
        <v>2190</v>
      </c>
      <c r="F34" s="4">
        <v>156</v>
      </c>
      <c r="G34" s="4">
        <v>189</v>
      </c>
      <c r="H34" s="4">
        <f t="shared" si="0"/>
        <v>345</v>
      </c>
      <c r="I34" s="4">
        <v>35</v>
      </c>
      <c r="J34" s="4">
        <v>50</v>
      </c>
      <c r="K34" s="4">
        <v>85</v>
      </c>
      <c r="L34" s="4">
        <v>319</v>
      </c>
      <c r="M34" s="4">
        <v>489</v>
      </c>
      <c r="N34" s="4">
        <f t="shared" si="1"/>
        <v>808</v>
      </c>
      <c r="O34" s="4">
        <v>41</v>
      </c>
      <c r="P34" s="4">
        <v>200</v>
      </c>
      <c r="Q34" s="4">
        <v>241</v>
      </c>
      <c r="R34" s="6">
        <f t="shared" si="2"/>
        <v>3.0935808197989172E-2</v>
      </c>
      <c r="S34" s="6">
        <f t="shared" si="3"/>
        <v>0.24637681159420291</v>
      </c>
      <c r="T34" s="6">
        <f t="shared" si="4"/>
        <v>0.29826732673267325</v>
      </c>
    </row>
    <row r="35" spans="1:20" x14ac:dyDescent="0.25">
      <c r="A35" s="3" t="s">
        <v>30</v>
      </c>
      <c r="B35" s="4">
        <v>874</v>
      </c>
      <c r="C35" s="4">
        <v>100</v>
      </c>
      <c r="D35" s="4">
        <v>857</v>
      </c>
      <c r="E35" s="4">
        <v>1831</v>
      </c>
      <c r="F35" s="4">
        <v>119</v>
      </c>
      <c r="G35" s="4">
        <v>188</v>
      </c>
      <c r="H35" s="4">
        <f t="shared" si="0"/>
        <v>307</v>
      </c>
      <c r="I35" s="4">
        <v>28</v>
      </c>
      <c r="J35" s="4">
        <v>60</v>
      </c>
      <c r="K35" s="4">
        <v>88</v>
      </c>
      <c r="L35" s="4">
        <v>246</v>
      </c>
      <c r="M35" s="4">
        <v>408</v>
      </c>
      <c r="N35" s="4">
        <f t="shared" si="1"/>
        <v>654</v>
      </c>
      <c r="O35" s="4">
        <v>45</v>
      </c>
      <c r="P35" s="4">
        <v>216</v>
      </c>
      <c r="Q35" s="4">
        <v>261</v>
      </c>
      <c r="R35" s="6">
        <f t="shared" si="2"/>
        <v>0.10266940451745379</v>
      </c>
      <c r="S35" s="6">
        <f t="shared" si="3"/>
        <v>0.28664495114006516</v>
      </c>
      <c r="T35" s="6">
        <f t="shared" si="4"/>
        <v>0.39908256880733944</v>
      </c>
    </row>
    <row r="36" spans="1:20" x14ac:dyDescent="0.25">
      <c r="A36" s="3" t="s">
        <v>31</v>
      </c>
      <c r="B36" s="4">
        <v>1125</v>
      </c>
      <c r="C36" s="4">
        <v>55</v>
      </c>
      <c r="D36" s="4">
        <v>859</v>
      </c>
      <c r="E36" s="4">
        <v>2039</v>
      </c>
      <c r="F36" s="4">
        <v>158</v>
      </c>
      <c r="G36" s="4">
        <v>201</v>
      </c>
      <c r="H36" s="4">
        <f t="shared" si="0"/>
        <v>359</v>
      </c>
      <c r="I36" s="4">
        <v>38</v>
      </c>
      <c r="J36" s="4">
        <v>54</v>
      </c>
      <c r="K36" s="4">
        <v>92</v>
      </c>
      <c r="L36" s="4">
        <v>300</v>
      </c>
      <c r="M36" s="4">
        <v>498</v>
      </c>
      <c r="N36" s="4">
        <f t="shared" si="1"/>
        <v>798</v>
      </c>
      <c r="O36" s="4">
        <v>42</v>
      </c>
      <c r="P36" s="4">
        <v>226</v>
      </c>
      <c r="Q36" s="4">
        <v>268</v>
      </c>
      <c r="R36" s="6">
        <f t="shared" si="2"/>
        <v>4.6610169491525424E-2</v>
      </c>
      <c r="S36" s="6">
        <f t="shared" si="3"/>
        <v>0.25626740947075211</v>
      </c>
      <c r="T36" s="6">
        <f t="shared" si="4"/>
        <v>0.33583959899749372</v>
      </c>
    </row>
    <row r="37" spans="1:20" x14ac:dyDescent="0.25">
      <c r="A37" s="3" t="s">
        <v>32</v>
      </c>
      <c r="B37" s="4">
        <v>834</v>
      </c>
      <c r="C37" s="4">
        <v>53</v>
      </c>
      <c r="D37" s="4">
        <v>762</v>
      </c>
      <c r="E37" s="4">
        <v>1649</v>
      </c>
      <c r="F37" s="4">
        <v>114</v>
      </c>
      <c r="G37" s="4">
        <v>171</v>
      </c>
      <c r="H37" s="4">
        <f t="shared" si="0"/>
        <v>285</v>
      </c>
      <c r="I37" s="4">
        <v>27</v>
      </c>
      <c r="J37" s="4">
        <v>40</v>
      </c>
      <c r="K37" s="4">
        <v>67</v>
      </c>
      <c r="L37" s="4">
        <v>219</v>
      </c>
      <c r="M37" s="4">
        <v>370</v>
      </c>
      <c r="N37" s="4">
        <f t="shared" si="1"/>
        <v>589</v>
      </c>
      <c r="O37" s="4">
        <v>55</v>
      </c>
      <c r="P37" s="4">
        <v>168</v>
      </c>
      <c r="Q37" s="4">
        <v>223</v>
      </c>
      <c r="R37" s="6">
        <f t="shared" si="2"/>
        <v>5.9751972942502819E-2</v>
      </c>
      <c r="S37" s="6">
        <f t="shared" si="3"/>
        <v>0.23508771929824562</v>
      </c>
      <c r="T37" s="6">
        <f t="shared" si="4"/>
        <v>0.37860780984719866</v>
      </c>
    </row>
    <row r="38" spans="1:20" x14ac:dyDescent="0.25">
      <c r="A38" s="3" t="s">
        <v>33</v>
      </c>
      <c r="B38" s="4">
        <v>1355</v>
      </c>
      <c r="C38" s="4">
        <v>54</v>
      </c>
      <c r="D38" s="4">
        <v>750</v>
      </c>
      <c r="E38" s="4">
        <v>2159</v>
      </c>
      <c r="F38" s="4">
        <v>187</v>
      </c>
      <c r="G38" s="4">
        <v>194</v>
      </c>
      <c r="H38" s="4">
        <f t="shared" si="0"/>
        <v>381</v>
      </c>
      <c r="I38" s="4">
        <v>44</v>
      </c>
      <c r="J38" s="4">
        <v>42</v>
      </c>
      <c r="K38" s="4">
        <v>86</v>
      </c>
      <c r="L38" s="4">
        <v>310</v>
      </c>
      <c r="M38" s="4">
        <v>523</v>
      </c>
      <c r="N38" s="4">
        <f t="shared" si="1"/>
        <v>833</v>
      </c>
      <c r="O38" s="4">
        <v>54</v>
      </c>
      <c r="P38" s="4">
        <v>181</v>
      </c>
      <c r="Q38" s="4">
        <v>235</v>
      </c>
      <c r="R38" s="6">
        <f t="shared" si="2"/>
        <v>3.8325053229240597E-2</v>
      </c>
      <c r="S38" s="6">
        <f t="shared" si="3"/>
        <v>0.22572178477690288</v>
      </c>
      <c r="T38" s="6">
        <f t="shared" si="4"/>
        <v>0.28211284513805523</v>
      </c>
    </row>
    <row r="39" spans="1:20" x14ac:dyDescent="0.25">
      <c r="A39" s="3" t="s">
        <v>34</v>
      </c>
      <c r="B39" s="4">
        <v>1269</v>
      </c>
      <c r="C39" s="4">
        <v>84</v>
      </c>
      <c r="D39" s="4">
        <v>689</v>
      </c>
      <c r="E39" s="4">
        <v>2042</v>
      </c>
      <c r="F39" s="4">
        <v>181</v>
      </c>
      <c r="G39" s="4">
        <v>185</v>
      </c>
      <c r="H39" s="4">
        <f t="shared" si="0"/>
        <v>366</v>
      </c>
      <c r="I39" s="4">
        <v>45</v>
      </c>
      <c r="J39" s="4">
        <v>57</v>
      </c>
      <c r="K39" s="4">
        <v>102</v>
      </c>
      <c r="L39" s="4">
        <v>372</v>
      </c>
      <c r="M39" s="4">
        <v>461</v>
      </c>
      <c r="N39" s="4">
        <f t="shared" si="1"/>
        <v>833</v>
      </c>
      <c r="O39" s="4">
        <v>80</v>
      </c>
      <c r="P39" s="4">
        <v>168</v>
      </c>
      <c r="Q39" s="4">
        <v>248</v>
      </c>
      <c r="R39" s="6">
        <f t="shared" si="2"/>
        <v>6.2084257206208429E-2</v>
      </c>
      <c r="S39" s="6">
        <f t="shared" si="3"/>
        <v>0.27868852459016391</v>
      </c>
      <c r="T39" s="6">
        <f t="shared" si="4"/>
        <v>0.297719087635054</v>
      </c>
    </row>
    <row r="40" spans="1:20" x14ac:dyDescent="0.25">
      <c r="A40" s="3" t="s">
        <v>35</v>
      </c>
      <c r="B40" s="4">
        <v>935</v>
      </c>
      <c r="C40" s="4">
        <v>41</v>
      </c>
      <c r="D40" s="4">
        <v>749</v>
      </c>
      <c r="E40" s="4">
        <v>1725</v>
      </c>
      <c r="F40" s="4">
        <v>124</v>
      </c>
      <c r="G40" s="4">
        <v>128</v>
      </c>
      <c r="H40" s="4">
        <f t="shared" si="0"/>
        <v>252</v>
      </c>
      <c r="I40" s="4">
        <v>38</v>
      </c>
      <c r="J40" s="4">
        <v>26</v>
      </c>
      <c r="K40" s="4">
        <v>64</v>
      </c>
      <c r="L40" s="4">
        <v>266</v>
      </c>
      <c r="M40" s="4">
        <v>319</v>
      </c>
      <c r="N40" s="4">
        <f t="shared" si="1"/>
        <v>585</v>
      </c>
      <c r="O40" s="4">
        <v>52</v>
      </c>
      <c r="P40" s="4">
        <v>136</v>
      </c>
      <c r="Q40" s="4">
        <v>188</v>
      </c>
      <c r="R40" s="6">
        <f t="shared" si="2"/>
        <v>4.2008196721311473E-2</v>
      </c>
      <c r="S40" s="6">
        <f t="shared" si="3"/>
        <v>0.25396825396825395</v>
      </c>
      <c r="T40" s="6">
        <f t="shared" si="4"/>
        <v>0.32136752136752139</v>
      </c>
    </row>
    <row r="41" spans="1:20" x14ac:dyDescent="0.25">
      <c r="A41" s="3" t="s">
        <v>36</v>
      </c>
      <c r="B41" s="4">
        <v>1014</v>
      </c>
      <c r="C41" s="4">
        <v>52</v>
      </c>
      <c r="D41" s="4">
        <v>778</v>
      </c>
      <c r="E41" s="4">
        <v>1844</v>
      </c>
      <c r="F41" s="4">
        <v>133</v>
      </c>
      <c r="G41" s="4">
        <v>150</v>
      </c>
      <c r="H41" s="4">
        <f t="shared" si="0"/>
        <v>283</v>
      </c>
      <c r="I41" s="4">
        <v>22</v>
      </c>
      <c r="J41" s="4">
        <v>54</v>
      </c>
      <c r="K41" s="4">
        <v>76</v>
      </c>
      <c r="L41" s="4">
        <v>259</v>
      </c>
      <c r="M41" s="4">
        <v>381</v>
      </c>
      <c r="N41" s="4">
        <f t="shared" si="1"/>
        <v>640</v>
      </c>
      <c r="O41" s="4">
        <v>37</v>
      </c>
      <c r="P41" s="4">
        <v>174</v>
      </c>
      <c r="Q41" s="4">
        <v>211</v>
      </c>
      <c r="R41" s="6">
        <f t="shared" si="2"/>
        <v>4.878048780487805E-2</v>
      </c>
      <c r="S41" s="6">
        <f t="shared" si="3"/>
        <v>0.26855123674911663</v>
      </c>
      <c r="T41" s="6">
        <f t="shared" si="4"/>
        <v>0.32968750000000002</v>
      </c>
    </row>
    <row r="42" spans="1:20" x14ac:dyDescent="0.25">
      <c r="A42" s="3" t="s">
        <v>37</v>
      </c>
      <c r="B42" s="4">
        <v>953</v>
      </c>
      <c r="C42" s="4">
        <v>74</v>
      </c>
      <c r="D42" s="4">
        <v>1110</v>
      </c>
      <c r="E42" s="4">
        <v>2137</v>
      </c>
      <c r="F42" s="4">
        <v>216</v>
      </c>
      <c r="G42" s="4">
        <v>221</v>
      </c>
      <c r="H42" s="4">
        <f t="shared" si="0"/>
        <v>437</v>
      </c>
      <c r="I42" s="4">
        <v>89</v>
      </c>
      <c r="J42" s="4">
        <v>125</v>
      </c>
      <c r="K42" s="4">
        <v>214</v>
      </c>
      <c r="L42" s="4">
        <v>421</v>
      </c>
      <c r="M42" s="4">
        <v>526</v>
      </c>
      <c r="N42" s="4">
        <f t="shared" si="1"/>
        <v>947</v>
      </c>
      <c r="O42" s="4">
        <v>95</v>
      </c>
      <c r="P42" s="4">
        <v>350</v>
      </c>
      <c r="Q42" s="4">
        <v>445</v>
      </c>
      <c r="R42" s="6">
        <f t="shared" si="2"/>
        <v>7.2054527750730277E-2</v>
      </c>
      <c r="S42" s="6">
        <f t="shared" si="3"/>
        <v>0.48970251716247137</v>
      </c>
      <c r="T42" s="6">
        <f t="shared" si="4"/>
        <v>0.46990496304118268</v>
      </c>
    </row>
    <row r="43" spans="1:20" x14ac:dyDescent="0.25">
      <c r="A43" s="3" t="s">
        <v>38</v>
      </c>
      <c r="B43" s="4">
        <v>1261</v>
      </c>
      <c r="C43" s="4">
        <v>49</v>
      </c>
      <c r="D43" s="4">
        <v>786</v>
      </c>
      <c r="E43" s="4">
        <v>2096</v>
      </c>
      <c r="F43" s="4">
        <v>134</v>
      </c>
      <c r="G43" s="4">
        <v>153</v>
      </c>
      <c r="H43" s="4">
        <f t="shared" si="0"/>
        <v>287</v>
      </c>
      <c r="I43" s="4">
        <v>29</v>
      </c>
      <c r="J43" s="4">
        <v>40</v>
      </c>
      <c r="K43" s="4">
        <v>69</v>
      </c>
      <c r="L43" s="4">
        <v>301</v>
      </c>
      <c r="M43" s="4">
        <v>413</v>
      </c>
      <c r="N43" s="4">
        <f t="shared" si="1"/>
        <v>714</v>
      </c>
      <c r="O43" s="4">
        <v>29</v>
      </c>
      <c r="P43" s="4">
        <v>175</v>
      </c>
      <c r="Q43" s="4">
        <v>204</v>
      </c>
      <c r="R43" s="6">
        <f t="shared" si="2"/>
        <v>3.7404580152671757E-2</v>
      </c>
      <c r="S43" s="6">
        <f t="shared" si="3"/>
        <v>0.24041811846689895</v>
      </c>
      <c r="T43" s="6">
        <f t="shared" si="4"/>
        <v>0.2857142857142857</v>
      </c>
    </row>
    <row r="44" spans="1:20" x14ac:dyDescent="0.25">
      <c r="A44" s="3" t="s">
        <v>39</v>
      </c>
      <c r="B44" s="4">
        <v>1280</v>
      </c>
      <c r="C44" s="4">
        <v>46</v>
      </c>
      <c r="D44" s="4">
        <v>985</v>
      </c>
      <c r="E44" s="4">
        <v>2311</v>
      </c>
      <c r="F44" s="4">
        <v>188</v>
      </c>
      <c r="G44" s="4">
        <v>192</v>
      </c>
      <c r="H44" s="4">
        <f t="shared" si="0"/>
        <v>380</v>
      </c>
      <c r="I44" s="4">
        <v>49</v>
      </c>
      <c r="J44" s="4">
        <v>55</v>
      </c>
      <c r="K44" s="4">
        <v>104</v>
      </c>
      <c r="L44" s="4">
        <v>412</v>
      </c>
      <c r="M44" s="4">
        <v>497</v>
      </c>
      <c r="N44" s="4">
        <f t="shared" si="1"/>
        <v>909</v>
      </c>
      <c r="O44" s="4">
        <v>69</v>
      </c>
      <c r="P44" s="4">
        <v>245</v>
      </c>
      <c r="Q44" s="4">
        <v>314</v>
      </c>
      <c r="R44" s="6">
        <f t="shared" si="2"/>
        <v>3.4690799396681751E-2</v>
      </c>
      <c r="S44" s="6">
        <f t="shared" si="3"/>
        <v>0.27368421052631581</v>
      </c>
      <c r="T44" s="6">
        <f t="shared" si="4"/>
        <v>0.34543454345434543</v>
      </c>
    </row>
    <row r="45" spans="1:20" x14ac:dyDescent="0.25">
      <c r="A45" s="3" t="s">
        <v>40</v>
      </c>
      <c r="B45" s="4">
        <v>1294</v>
      </c>
      <c r="C45" s="4">
        <v>88</v>
      </c>
      <c r="D45" s="4">
        <v>1039</v>
      </c>
      <c r="E45" s="4">
        <v>2421</v>
      </c>
      <c r="F45" s="4">
        <v>209</v>
      </c>
      <c r="G45" s="4">
        <v>207</v>
      </c>
      <c r="H45" s="4">
        <f t="shared" si="0"/>
        <v>416</v>
      </c>
      <c r="I45" s="4">
        <v>35</v>
      </c>
      <c r="J45" s="4">
        <v>62</v>
      </c>
      <c r="K45" s="4">
        <v>97</v>
      </c>
      <c r="L45" s="4">
        <v>398</v>
      </c>
      <c r="M45" s="4">
        <v>508</v>
      </c>
      <c r="N45" s="4">
        <f t="shared" si="1"/>
        <v>906</v>
      </c>
      <c r="O45" s="4">
        <v>66</v>
      </c>
      <c r="P45" s="4">
        <v>201</v>
      </c>
      <c r="Q45" s="4">
        <v>267</v>
      </c>
      <c r="R45" s="6">
        <f t="shared" si="2"/>
        <v>6.3675832127351659E-2</v>
      </c>
      <c r="S45" s="6">
        <f t="shared" si="3"/>
        <v>0.23317307692307693</v>
      </c>
      <c r="T45" s="6">
        <f t="shared" si="4"/>
        <v>0.29470198675496689</v>
      </c>
    </row>
    <row r="46" spans="1:20" x14ac:dyDescent="0.25">
      <c r="A46" s="3" t="s">
        <v>41</v>
      </c>
      <c r="B46" s="4">
        <v>760</v>
      </c>
      <c r="C46" s="4">
        <v>59</v>
      </c>
      <c r="D46" s="4">
        <v>787</v>
      </c>
      <c r="E46" s="4">
        <v>1606</v>
      </c>
      <c r="F46" s="4">
        <v>156</v>
      </c>
      <c r="G46" s="4">
        <v>149</v>
      </c>
      <c r="H46" s="4">
        <f t="shared" si="0"/>
        <v>305</v>
      </c>
      <c r="I46" s="4">
        <v>37</v>
      </c>
      <c r="J46" s="4">
        <v>29</v>
      </c>
      <c r="K46" s="4">
        <v>66</v>
      </c>
      <c r="L46" s="4">
        <v>219</v>
      </c>
      <c r="M46" s="4">
        <v>286</v>
      </c>
      <c r="N46" s="4">
        <f t="shared" si="1"/>
        <v>505</v>
      </c>
      <c r="O46" s="4">
        <v>43</v>
      </c>
      <c r="P46" s="4">
        <v>125</v>
      </c>
      <c r="Q46" s="4">
        <v>168</v>
      </c>
      <c r="R46" s="6">
        <f t="shared" si="2"/>
        <v>7.2039072039072033E-2</v>
      </c>
      <c r="S46" s="6">
        <f t="shared" si="3"/>
        <v>0.21639344262295082</v>
      </c>
      <c r="T46" s="6">
        <f t="shared" si="4"/>
        <v>0.33267326732673269</v>
      </c>
    </row>
    <row r="47" spans="1:20" x14ac:dyDescent="0.25">
      <c r="A47" s="3" t="s">
        <v>42</v>
      </c>
      <c r="B47" s="4">
        <v>820</v>
      </c>
      <c r="C47" s="4">
        <v>49</v>
      </c>
      <c r="D47" s="4">
        <v>434</v>
      </c>
      <c r="E47" s="4">
        <v>1303</v>
      </c>
      <c r="F47" s="4">
        <v>93</v>
      </c>
      <c r="G47" s="4">
        <v>108</v>
      </c>
      <c r="H47" s="4">
        <f t="shared" si="0"/>
        <v>201</v>
      </c>
      <c r="I47" s="4">
        <v>23</v>
      </c>
      <c r="J47" s="4">
        <v>27</v>
      </c>
      <c r="K47" s="4">
        <v>50</v>
      </c>
      <c r="L47" s="4">
        <v>190</v>
      </c>
      <c r="M47" s="4">
        <v>255</v>
      </c>
      <c r="N47" s="4">
        <f t="shared" si="1"/>
        <v>445</v>
      </c>
      <c r="O47" s="4">
        <v>28</v>
      </c>
      <c r="P47" s="4">
        <v>94</v>
      </c>
      <c r="Q47" s="4">
        <v>122</v>
      </c>
      <c r="R47" s="6">
        <f t="shared" si="2"/>
        <v>5.6386651323360182E-2</v>
      </c>
      <c r="S47" s="6">
        <f t="shared" si="3"/>
        <v>0.24875621890547264</v>
      </c>
      <c r="T47" s="6">
        <f t="shared" si="4"/>
        <v>0.27415730337078653</v>
      </c>
    </row>
    <row r="48" spans="1:20" x14ac:dyDescent="0.25">
      <c r="A48" s="3" t="s">
        <v>43</v>
      </c>
      <c r="B48" s="4">
        <v>1068</v>
      </c>
      <c r="C48" s="4">
        <v>61</v>
      </c>
      <c r="D48" s="4">
        <v>546</v>
      </c>
      <c r="E48" s="4">
        <v>1675</v>
      </c>
      <c r="F48" s="4">
        <v>181</v>
      </c>
      <c r="G48" s="4">
        <v>142</v>
      </c>
      <c r="H48" s="4">
        <f t="shared" si="0"/>
        <v>323</v>
      </c>
      <c r="I48" s="4">
        <v>39</v>
      </c>
      <c r="J48" s="4">
        <v>40</v>
      </c>
      <c r="K48" s="4">
        <v>79</v>
      </c>
      <c r="L48" s="4">
        <v>275</v>
      </c>
      <c r="M48" s="4">
        <v>337</v>
      </c>
      <c r="N48" s="4">
        <f t="shared" si="1"/>
        <v>612</v>
      </c>
      <c r="O48" s="4">
        <v>44</v>
      </c>
      <c r="P48" s="4">
        <v>121</v>
      </c>
      <c r="Q48" s="4">
        <v>165</v>
      </c>
      <c r="R48" s="6">
        <f t="shared" si="2"/>
        <v>5.4030115146147036E-2</v>
      </c>
      <c r="S48" s="6">
        <f t="shared" si="3"/>
        <v>0.24458204334365324</v>
      </c>
      <c r="T48" s="6">
        <f t="shared" si="4"/>
        <v>0.26960784313725489</v>
      </c>
    </row>
    <row r="49" spans="1:20" x14ac:dyDescent="0.25">
      <c r="A49" s="3" t="s">
        <v>44</v>
      </c>
      <c r="B49" s="4">
        <v>924</v>
      </c>
      <c r="C49" s="4">
        <v>64</v>
      </c>
      <c r="D49" s="4">
        <v>715</v>
      </c>
      <c r="E49" s="4">
        <v>1703</v>
      </c>
      <c r="F49" s="4">
        <v>134</v>
      </c>
      <c r="G49" s="4">
        <v>117</v>
      </c>
      <c r="H49" s="4">
        <f t="shared" si="0"/>
        <v>251</v>
      </c>
      <c r="I49" s="4">
        <v>42</v>
      </c>
      <c r="J49" s="4">
        <v>33</v>
      </c>
      <c r="K49" s="4">
        <v>75</v>
      </c>
      <c r="L49" s="4">
        <v>233</v>
      </c>
      <c r="M49" s="4">
        <v>323</v>
      </c>
      <c r="N49" s="4">
        <f t="shared" si="1"/>
        <v>556</v>
      </c>
      <c r="O49" s="4">
        <v>49</v>
      </c>
      <c r="P49" s="4">
        <v>132</v>
      </c>
      <c r="Q49" s="4">
        <v>181</v>
      </c>
      <c r="R49" s="6">
        <f t="shared" si="2"/>
        <v>6.4777327935222673E-2</v>
      </c>
      <c r="S49" s="6">
        <f t="shared" si="3"/>
        <v>0.29880478087649404</v>
      </c>
      <c r="T49" s="6">
        <f t="shared" si="4"/>
        <v>0.32553956834532372</v>
      </c>
    </row>
    <row r="50" spans="1:20" x14ac:dyDescent="0.25">
      <c r="A50" s="3" t="s">
        <v>45</v>
      </c>
      <c r="B50" s="4">
        <v>772</v>
      </c>
      <c r="C50" s="4">
        <v>70</v>
      </c>
      <c r="D50" s="4">
        <v>675</v>
      </c>
      <c r="E50" s="4">
        <v>1517</v>
      </c>
      <c r="F50" s="4">
        <v>86</v>
      </c>
      <c r="G50" s="4">
        <v>125</v>
      </c>
      <c r="H50" s="4">
        <f t="shared" si="0"/>
        <v>211</v>
      </c>
      <c r="I50" s="4">
        <v>21</v>
      </c>
      <c r="J50" s="4">
        <v>34</v>
      </c>
      <c r="K50" s="4">
        <v>55</v>
      </c>
      <c r="L50" s="4">
        <v>226</v>
      </c>
      <c r="M50" s="4">
        <v>349</v>
      </c>
      <c r="N50" s="4">
        <f t="shared" si="1"/>
        <v>575</v>
      </c>
      <c r="O50" s="4">
        <v>41</v>
      </c>
      <c r="P50" s="4">
        <v>177</v>
      </c>
      <c r="Q50" s="4">
        <v>218</v>
      </c>
      <c r="R50" s="6">
        <f t="shared" si="2"/>
        <v>8.3135391923990498E-2</v>
      </c>
      <c r="S50" s="6">
        <f t="shared" si="3"/>
        <v>0.26066350710900477</v>
      </c>
      <c r="T50" s="6">
        <f t="shared" si="4"/>
        <v>0.37913043478260872</v>
      </c>
    </row>
    <row r="51" spans="1:20" x14ac:dyDescent="0.25">
      <c r="A51" s="3" t="s">
        <v>46</v>
      </c>
      <c r="B51" s="4">
        <v>540</v>
      </c>
      <c r="C51" s="4">
        <v>35</v>
      </c>
      <c r="D51" s="4">
        <v>584</v>
      </c>
      <c r="E51" s="4">
        <v>1159</v>
      </c>
      <c r="F51" s="4">
        <v>91</v>
      </c>
      <c r="G51" s="4">
        <v>94</v>
      </c>
      <c r="H51" s="4">
        <f t="shared" si="0"/>
        <v>185</v>
      </c>
      <c r="I51" s="4">
        <v>26</v>
      </c>
      <c r="J51" s="4">
        <v>40</v>
      </c>
      <c r="K51" s="4">
        <v>66</v>
      </c>
      <c r="L51" s="4">
        <v>170</v>
      </c>
      <c r="M51" s="4">
        <v>280</v>
      </c>
      <c r="N51" s="4">
        <f t="shared" si="1"/>
        <v>450</v>
      </c>
      <c r="O51" s="4">
        <v>33</v>
      </c>
      <c r="P51" s="4">
        <v>154</v>
      </c>
      <c r="Q51" s="4">
        <v>187</v>
      </c>
      <c r="R51" s="6">
        <f t="shared" si="2"/>
        <v>6.0869565217391307E-2</v>
      </c>
      <c r="S51" s="6">
        <f t="shared" si="3"/>
        <v>0.35675675675675678</v>
      </c>
      <c r="T51" s="6">
        <f t="shared" si="4"/>
        <v>0.41555555555555557</v>
      </c>
    </row>
    <row r="52" spans="1:20" x14ac:dyDescent="0.25">
      <c r="A52" s="3" t="s">
        <v>47</v>
      </c>
      <c r="B52" s="4">
        <v>1538</v>
      </c>
      <c r="C52" s="4">
        <v>102</v>
      </c>
      <c r="D52" s="4">
        <v>1202</v>
      </c>
      <c r="E52" s="4">
        <v>2842</v>
      </c>
      <c r="F52" s="4">
        <v>219</v>
      </c>
      <c r="G52" s="4">
        <v>254</v>
      </c>
      <c r="H52" s="4">
        <f t="shared" si="0"/>
        <v>473</v>
      </c>
      <c r="I52" s="4">
        <v>44</v>
      </c>
      <c r="J52" s="4">
        <v>84</v>
      </c>
      <c r="K52" s="4">
        <v>128</v>
      </c>
      <c r="L52" s="4">
        <v>422</v>
      </c>
      <c r="M52" s="4">
        <v>551</v>
      </c>
      <c r="N52" s="4">
        <f t="shared" si="1"/>
        <v>973</v>
      </c>
      <c r="O52" s="4">
        <v>72</v>
      </c>
      <c r="P52" s="4">
        <v>276</v>
      </c>
      <c r="Q52" s="4">
        <v>348</v>
      </c>
      <c r="R52" s="6">
        <f t="shared" si="2"/>
        <v>6.2195121951219512E-2</v>
      </c>
      <c r="S52" s="6">
        <f t="shared" si="3"/>
        <v>0.27061310782241016</v>
      </c>
      <c r="T52" s="6">
        <f t="shared" si="4"/>
        <v>0.35765673175745116</v>
      </c>
    </row>
    <row r="53" spans="1:20" x14ac:dyDescent="0.25">
      <c r="A53" s="3" t="s">
        <v>48</v>
      </c>
      <c r="B53" s="4">
        <v>1568</v>
      </c>
      <c r="C53" s="4">
        <v>66</v>
      </c>
      <c r="D53" s="4">
        <v>930</v>
      </c>
      <c r="E53" s="4">
        <v>2564</v>
      </c>
      <c r="F53" s="4">
        <v>209</v>
      </c>
      <c r="G53" s="4">
        <v>166</v>
      </c>
      <c r="H53" s="4">
        <f t="shared" si="0"/>
        <v>375</v>
      </c>
      <c r="I53" s="4">
        <v>49</v>
      </c>
      <c r="J53" s="4">
        <v>44</v>
      </c>
      <c r="K53" s="4">
        <v>93</v>
      </c>
      <c r="L53" s="4">
        <v>722</v>
      </c>
      <c r="M53" s="4">
        <v>422</v>
      </c>
      <c r="N53" s="4">
        <f t="shared" si="1"/>
        <v>1144</v>
      </c>
      <c r="O53" s="4">
        <v>192</v>
      </c>
      <c r="P53" s="4">
        <v>184</v>
      </c>
      <c r="Q53" s="4">
        <v>376</v>
      </c>
      <c r="R53" s="6">
        <f t="shared" si="2"/>
        <v>4.0391676866585069E-2</v>
      </c>
      <c r="S53" s="6">
        <f t="shared" si="3"/>
        <v>0.248</v>
      </c>
      <c r="T53" s="6">
        <f t="shared" si="4"/>
        <v>0.32867132867132864</v>
      </c>
    </row>
    <row r="54" spans="1:20" x14ac:dyDescent="0.25">
      <c r="A54" s="3" t="s">
        <v>49</v>
      </c>
      <c r="B54" s="4">
        <v>1123</v>
      </c>
      <c r="C54" s="4">
        <v>80</v>
      </c>
      <c r="D54" s="4">
        <v>795</v>
      </c>
      <c r="E54" s="4">
        <v>1998</v>
      </c>
      <c r="F54" s="4">
        <v>173</v>
      </c>
      <c r="G54" s="4">
        <v>181</v>
      </c>
      <c r="H54" s="4">
        <f t="shared" si="0"/>
        <v>354</v>
      </c>
      <c r="I54" s="4">
        <v>46</v>
      </c>
      <c r="J54" s="4">
        <v>70</v>
      </c>
      <c r="K54" s="4">
        <v>116</v>
      </c>
      <c r="L54" s="4">
        <v>320</v>
      </c>
      <c r="M54" s="4">
        <v>455</v>
      </c>
      <c r="N54" s="4">
        <f t="shared" si="1"/>
        <v>775</v>
      </c>
      <c r="O54" s="4">
        <v>71</v>
      </c>
      <c r="P54" s="4">
        <v>229</v>
      </c>
      <c r="Q54" s="4">
        <v>300</v>
      </c>
      <c r="R54" s="6">
        <f t="shared" si="2"/>
        <v>6.6500415627597675E-2</v>
      </c>
      <c r="S54" s="6">
        <f t="shared" si="3"/>
        <v>0.32768361581920902</v>
      </c>
      <c r="T54" s="6">
        <f t="shared" si="4"/>
        <v>0.38709677419354838</v>
      </c>
    </row>
    <row r="55" spans="1:20" x14ac:dyDescent="0.25">
      <c r="A55" s="3" t="s">
        <v>50</v>
      </c>
      <c r="B55" s="4">
        <v>2140</v>
      </c>
      <c r="C55" s="4">
        <v>96</v>
      </c>
      <c r="D55" s="4">
        <v>1470</v>
      </c>
      <c r="E55" s="4">
        <v>3706</v>
      </c>
      <c r="F55" s="4">
        <v>468</v>
      </c>
      <c r="G55" s="4">
        <v>240</v>
      </c>
      <c r="H55" s="4">
        <f t="shared" si="0"/>
        <v>708</v>
      </c>
      <c r="I55" s="4">
        <v>107</v>
      </c>
      <c r="J55" s="4">
        <v>67</v>
      </c>
      <c r="K55" s="4">
        <v>174</v>
      </c>
      <c r="L55" s="4">
        <v>1337</v>
      </c>
      <c r="M55" s="4">
        <v>600</v>
      </c>
      <c r="N55" s="4">
        <f t="shared" si="1"/>
        <v>1937</v>
      </c>
      <c r="O55" s="4">
        <v>345</v>
      </c>
      <c r="P55" s="4">
        <v>237</v>
      </c>
      <c r="Q55" s="4">
        <v>582</v>
      </c>
      <c r="R55" s="6">
        <f t="shared" si="2"/>
        <v>4.2933810375670838E-2</v>
      </c>
      <c r="S55" s="6">
        <f t="shared" si="3"/>
        <v>0.24576271186440679</v>
      </c>
      <c r="T55" s="6">
        <f t="shared" si="4"/>
        <v>0.30046463603510581</v>
      </c>
    </row>
    <row r="56" spans="1:20" x14ac:dyDescent="0.25">
      <c r="A56" s="3" t="s">
        <v>51</v>
      </c>
      <c r="B56" s="4">
        <v>922</v>
      </c>
      <c r="C56" s="4">
        <v>76</v>
      </c>
      <c r="D56" s="4">
        <v>546</v>
      </c>
      <c r="E56" s="4">
        <v>1544</v>
      </c>
      <c r="F56" s="4">
        <v>141</v>
      </c>
      <c r="G56" s="4">
        <v>105</v>
      </c>
      <c r="H56" s="4">
        <f t="shared" si="0"/>
        <v>246</v>
      </c>
      <c r="I56" s="4">
        <v>30</v>
      </c>
      <c r="J56" s="4">
        <v>25</v>
      </c>
      <c r="K56" s="4">
        <v>55</v>
      </c>
      <c r="L56" s="4">
        <v>270</v>
      </c>
      <c r="M56" s="4">
        <v>275</v>
      </c>
      <c r="N56" s="4">
        <f t="shared" si="1"/>
        <v>545</v>
      </c>
      <c r="O56" s="4">
        <v>49</v>
      </c>
      <c r="P56" s="4">
        <v>104</v>
      </c>
      <c r="Q56" s="4">
        <v>153</v>
      </c>
      <c r="R56" s="6">
        <f t="shared" si="2"/>
        <v>7.6152304609218444E-2</v>
      </c>
      <c r="S56" s="6">
        <f t="shared" si="3"/>
        <v>0.22357723577235772</v>
      </c>
      <c r="T56" s="6">
        <f t="shared" si="4"/>
        <v>0.28073394495412846</v>
      </c>
    </row>
    <row r="57" spans="1:20" x14ac:dyDescent="0.25">
      <c r="A57" s="3" t="s">
        <v>52</v>
      </c>
      <c r="B57" s="4">
        <v>1327</v>
      </c>
      <c r="C57" s="4">
        <v>69</v>
      </c>
      <c r="D57" s="4">
        <v>613</v>
      </c>
      <c r="E57" s="4">
        <v>2009</v>
      </c>
      <c r="F57" s="4">
        <v>171</v>
      </c>
      <c r="G57" s="4">
        <v>162</v>
      </c>
      <c r="H57" s="4">
        <f t="shared" si="0"/>
        <v>333</v>
      </c>
      <c r="I57" s="4">
        <v>46</v>
      </c>
      <c r="J57" s="4">
        <v>35</v>
      </c>
      <c r="K57" s="4">
        <v>81</v>
      </c>
      <c r="L57" s="4">
        <v>356</v>
      </c>
      <c r="M57" s="4">
        <v>437</v>
      </c>
      <c r="N57" s="4">
        <f t="shared" si="1"/>
        <v>793</v>
      </c>
      <c r="O57" s="4">
        <v>59</v>
      </c>
      <c r="P57" s="4">
        <v>148</v>
      </c>
      <c r="Q57" s="4">
        <v>207</v>
      </c>
      <c r="R57" s="6">
        <f t="shared" si="2"/>
        <v>4.9426934097421202E-2</v>
      </c>
      <c r="S57" s="6">
        <f t="shared" si="3"/>
        <v>0.24324324324324326</v>
      </c>
      <c r="T57" s="6">
        <f t="shared" si="4"/>
        <v>0.2610340479192938</v>
      </c>
    </row>
    <row r="58" spans="1:20" x14ac:dyDescent="0.25">
      <c r="A58" s="3" t="s">
        <v>53</v>
      </c>
      <c r="B58" s="4">
        <v>1475</v>
      </c>
      <c r="C58" s="4">
        <v>38</v>
      </c>
      <c r="D58" s="4">
        <v>976</v>
      </c>
      <c r="E58" s="4">
        <v>2489</v>
      </c>
      <c r="F58" s="4">
        <v>240</v>
      </c>
      <c r="G58" s="4">
        <v>222</v>
      </c>
      <c r="H58" s="4">
        <f t="shared" si="0"/>
        <v>462</v>
      </c>
      <c r="I58" s="4">
        <v>51</v>
      </c>
      <c r="J58" s="4">
        <v>77</v>
      </c>
      <c r="K58" s="4">
        <v>128</v>
      </c>
      <c r="L58" s="4">
        <v>460</v>
      </c>
      <c r="M58" s="4">
        <v>475</v>
      </c>
      <c r="N58" s="4">
        <f t="shared" si="1"/>
        <v>935</v>
      </c>
      <c r="O58" s="4">
        <v>76</v>
      </c>
      <c r="P58" s="4">
        <v>224</v>
      </c>
      <c r="Q58" s="4">
        <v>300</v>
      </c>
      <c r="R58" s="6">
        <f t="shared" si="2"/>
        <v>2.511566424322538E-2</v>
      </c>
      <c r="S58" s="6">
        <f t="shared" si="3"/>
        <v>0.27705627705627706</v>
      </c>
      <c r="T58" s="6">
        <f t="shared" si="4"/>
        <v>0.32085561497326204</v>
      </c>
    </row>
    <row r="59" spans="1:20" x14ac:dyDescent="0.25">
      <c r="A59" s="3" t="s">
        <v>54</v>
      </c>
      <c r="B59" s="4">
        <v>1032</v>
      </c>
      <c r="C59" s="4">
        <v>50</v>
      </c>
      <c r="D59" s="4">
        <v>635</v>
      </c>
      <c r="E59" s="4">
        <v>1717</v>
      </c>
      <c r="F59" s="4">
        <v>130</v>
      </c>
      <c r="G59" s="4">
        <v>142</v>
      </c>
      <c r="H59" s="4">
        <f t="shared" si="0"/>
        <v>272</v>
      </c>
      <c r="I59" s="4">
        <v>36</v>
      </c>
      <c r="J59" s="4">
        <v>41</v>
      </c>
      <c r="K59" s="4">
        <v>77</v>
      </c>
      <c r="L59" s="4">
        <v>297</v>
      </c>
      <c r="M59" s="4">
        <v>368</v>
      </c>
      <c r="N59" s="4">
        <f t="shared" si="1"/>
        <v>665</v>
      </c>
      <c r="O59" s="4">
        <v>54</v>
      </c>
      <c r="P59" s="4">
        <v>146</v>
      </c>
      <c r="Q59" s="4">
        <v>200</v>
      </c>
      <c r="R59" s="6">
        <f t="shared" si="2"/>
        <v>4.6210720887245843E-2</v>
      </c>
      <c r="S59" s="6">
        <f t="shared" si="3"/>
        <v>0.28308823529411764</v>
      </c>
      <c r="T59" s="6">
        <f t="shared" si="4"/>
        <v>0.3007518796992481</v>
      </c>
    </row>
    <row r="60" spans="1:20" x14ac:dyDescent="0.25">
      <c r="A60" s="3" t="s">
        <v>55</v>
      </c>
      <c r="B60" s="4">
        <v>1289</v>
      </c>
      <c r="C60" s="4">
        <v>54</v>
      </c>
      <c r="D60" s="4">
        <v>728</v>
      </c>
      <c r="E60" s="4">
        <v>2071</v>
      </c>
      <c r="F60" s="4">
        <v>146</v>
      </c>
      <c r="G60" s="4">
        <v>182</v>
      </c>
      <c r="H60" s="4">
        <f t="shared" si="0"/>
        <v>328</v>
      </c>
      <c r="I60" s="4">
        <v>35</v>
      </c>
      <c r="J60" s="4">
        <v>52</v>
      </c>
      <c r="K60" s="4">
        <v>87</v>
      </c>
      <c r="L60" s="4">
        <v>379</v>
      </c>
      <c r="M60" s="4">
        <v>461</v>
      </c>
      <c r="N60" s="4">
        <f t="shared" si="1"/>
        <v>840</v>
      </c>
      <c r="O60" s="4">
        <v>44</v>
      </c>
      <c r="P60" s="4">
        <v>209</v>
      </c>
      <c r="Q60" s="4">
        <v>253</v>
      </c>
      <c r="R60" s="6">
        <f t="shared" si="2"/>
        <v>4.0208488458674606E-2</v>
      </c>
      <c r="S60" s="6">
        <f t="shared" si="3"/>
        <v>0.2652439024390244</v>
      </c>
      <c r="T60" s="6">
        <f t="shared" si="4"/>
        <v>0.30119047619047618</v>
      </c>
    </row>
    <row r="61" spans="1:20" x14ac:dyDescent="0.25">
      <c r="A61" s="3" t="s">
        <v>56</v>
      </c>
      <c r="B61" s="4">
        <v>1202</v>
      </c>
      <c r="C61" s="4">
        <v>35</v>
      </c>
      <c r="D61" s="4">
        <v>708</v>
      </c>
      <c r="E61" s="4">
        <v>1945</v>
      </c>
      <c r="F61" s="4">
        <v>147</v>
      </c>
      <c r="G61" s="4">
        <v>157</v>
      </c>
      <c r="H61" s="4">
        <f t="shared" si="0"/>
        <v>304</v>
      </c>
      <c r="I61" s="4">
        <v>27</v>
      </c>
      <c r="J61" s="4">
        <v>38</v>
      </c>
      <c r="K61" s="4">
        <v>65</v>
      </c>
      <c r="L61" s="4">
        <v>307</v>
      </c>
      <c r="M61" s="4">
        <v>385</v>
      </c>
      <c r="N61" s="4">
        <f t="shared" si="1"/>
        <v>692</v>
      </c>
      <c r="O61" s="4">
        <v>39</v>
      </c>
      <c r="P61" s="4">
        <v>127</v>
      </c>
      <c r="Q61" s="4">
        <v>166</v>
      </c>
      <c r="R61" s="6">
        <f t="shared" si="2"/>
        <v>2.8294260307194827E-2</v>
      </c>
      <c r="S61" s="6">
        <f t="shared" si="3"/>
        <v>0.21381578947368421</v>
      </c>
      <c r="T61" s="6">
        <f t="shared" si="4"/>
        <v>0.23988439306358381</v>
      </c>
    </row>
    <row r="62" spans="1:20" x14ac:dyDescent="0.25">
      <c r="A62" s="3" t="s">
        <v>57</v>
      </c>
      <c r="B62" s="4">
        <v>437</v>
      </c>
      <c r="C62" s="4">
        <v>20</v>
      </c>
      <c r="D62" s="4">
        <v>164</v>
      </c>
      <c r="E62" s="4">
        <v>621</v>
      </c>
      <c r="F62" s="4">
        <v>45</v>
      </c>
      <c r="G62" s="4">
        <v>32</v>
      </c>
      <c r="H62" s="4">
        <f t="shared" si="0"/>
        <v>77</v>
      </c>
      <c r="I62" s="4">
        <v>11</v>
      </c>
      <c r="J62" s="4">
        <v>10</v>
      </c>
      <c r="K62" s="4">
        <v>21</v>
      </c>
      <c r="L62" s="4">
        <v>122</v>
      </c>
      <c r="M62" s="4">
        <v>104</v>
      </c>
      <c r="N62" s="4">
        <f t="shared" si="1"/>
        <v>226</v>
      </c>
      <c r="O62" s="4">
        <v>16</v>
      </c>
      <c r="P62" s="4">
        <v>31</v>
      </c>
      <c r="Q62" s="4">
        <v>47</v>
      </c>
      <c r="R62" s="6">
        <f t="shared" si="2"/>
        <v>4.3763676148796497E-2</v>
      </c>
      <c r="S62" s="6">
        <f t="shared" si="3"/>
        <v>0.27272727272727271</v>
      </c>
      <c r="T62" s="6">
        <f t="shared" si="4"/>
        <v>0.20796460176991149</v>
      </c>
    </row>
    <row r="63" spans="1:20" x14ac:dyDescent="0.25">
      <c r="A63" s="3" t="s">
        <v>58</v>
      </c>
      <c r="B63" s="4">
        <v>249</v>
      </c>
      <c r="C63" s="4">
        <v>9</v>
      </c>
      <c r="D63" s="4">
        <v>152</v>
      </c>
      <c r="E63" s="4">
        <v>410</v>
      </c>
      <c r="F63" s="4">
        <v>13</v>
      </c>
      <c r="G63" s="4">
        <v>20</v>
      </c>
      <c r="H63" s="4">
        <f t="shared" si="0"/>
        <v>33</v>
      </c>
      <c r="I63" s="4">
        <v>4</v>
      </c>
      <c r="J63" s="4">
        <v>5</v>
      </c>
      <c r="K63" s="4">
        <v>9</v>
      </c>
      <c r="L63" s="4">
        <v>50</v>
      </c>
      <c r="M63" s="4">
        <v>64</v>
      </c>
      <c r="N63" s="4">
        <f t="shared" si="1"/>
        <v>114</v>
      </c>
      <c r="O63" s="4">
        <v>11</v>
      </c>
      <c r="P63" s="4">
        <v>25</v>
      </c>
      <c r="Q63" s="4">
        <v>36</v>
      </c>
      <c r="R63" s="6">
        <f t="shared" si="2"/>
        <v>3.4883720930232558E-2</v>
      </c>
      <c r="S63" s="6">
        <f t="shared" si="3"/>
        <v>0.27272727272727271</v>
      </c>
      <c r="T63" s="6">
        <f t="shared" si="4"/>
        <v>0.31578947368421051</v>
      </c>
    </row>
    <row r="64" spans="1:20" x14ac:dyDescent="0.25">
      <c r="A64" s="3" t="s">
        <v>59</v>
      </c>
      <c r="B64" s="4">
        <v>1065</v>
      </c>
      <c r="C64" s="4">
        <v>22</v>
      </c>
      <c r="D64" s="4">
        <v>578</v>
      </c>
      <c r="E64" s="4">
        <v>1665</v>
      </c>
      <c r="F64" s="4">
        <v>103</v>
      </c>
      <c r="G64" s="4">
        <v>108</v>
      </c>
      <c r="H64" s="4">
        <f t="shared" si="0"/>
        <v>211</v>
      </c>
      <c r="I64" s="4">
        <v>7</v>
      </c>
      <c r="J64" s="4">
        <v>17</v>
      </c>
      <c r="K64" s="4">
        <v>24</v>
      </c>
      <c r="L64" s="4">
        <v>233</v>
      </c>
      <c r="M64" s="4">
        <v>266</v>
      </c>
      <c r="N64" s="4">
        <f t="shared" si="1"/>
        <v>499</v>
      </c>
      <c r="O64" s="4">
        <v>20</v>
      </c>
      <c r="P64" s="4">
        <v>89</v>
      </c>
      <c r="Q64" s="4">
        <v>109</v>
      </c>
      <c r="R64" s="6">
        <f t="shared" si="2"/>
        <v>2.0239190432382703E-2</v>
      </c>
      <c r="S64" s="6">
        <f t="shared" si="3"/>
        <v>0.11374407582938388</v>
      </c>
      <c r="T64" s="6">
        <f t="shared" si="4"/>
        <v>0.21843687374749499</v>
      </c>
    </row>
    <row r="65" spans="1:20" x14ac:dyDescent="0.25">
      <c r="A65" s="3" t="s">
        <v>60</v>
      </c>
      <c r="B65" s="4">
        <v>1046</v>
      </c>
      <c r="C65" s="4">
        <v>30</v>
      </c>
      <c r="D65" s="4">
        <v>583</v>
      </c>
      <c r="E65" s="4">
        <v>1659</v>
      </c>
      <c r="F65" s="4">
        <v>89</v>
      </c>
      <c r="G65" s="4">
        <v>120</v>
      </c>
      <c r="H65" s="4">
        <f t="shared" si="0"/>
        <v>209</v>
      </c>
      <c r="I65" s="4">
        <v>14</v>
      </c>
      <c r="J65" s="4">
        <v>45</v>
      </c>
      <c r="K65" s="4">
        <v>59</v>
      </c>
      <c r="L65" s="4">
        <v>235</v>
      </c>
      <c r="M65" s="4">
        <v>322</v>
      </c>
      <c r="N65" s="4">
        <f t="shared" si="1"/>
        <v>557</v>
      </c>
      <c r="O65" s="4">
        <v>23</v>
      </c>
      <c r="P65" s="4">
        <v>147</v>
      </c>
      <c r="Q65" s="4">
        <v>170</v>
      </c>
      <c r="R65" s="6">
        <f t="shared" si="2"/>
        <v>2.7881040892193308E-2</v>
      </c>
      <c r="S65" s="6">
        <f t="shared" si="3"/>
        <v>0.28229665071770332</v>
      </c>
      <c r="T65" s="6">
        <f t="shared" si="4"/>
        <v>0.30520646319569122</v>
      </c>
    </row>
    <row r="66" spans="1:20" x14ac:dyDescent="0.25">
      <c r="A66" s="3" t="s">
        <v>61</v>
      </c>
      <c r="B66" s="4">
        <v>839</v>
      </c>
      <c r="C66" s="4">
        <v>42</v>
      </c>
      <c r="D66" s="4">
        <v>631</v>
      </c>
      <c r="E66" s="4">
        <v>1512</v>
      </c>
      <c r="F66" s="4">
        <v>111</v>
      </c>
      <c r="G66" s="4">
        <v>128</v>
      </c>
      <c r="H66" s="4">
        <f t="shared" si="0"/>
        <v>239</v>
      </c>
      <c r="I66" s="4">
        <v>21</v>
      </c>
      <c r="J66" s="4">
        <v>46</v>
      </c>
      <c r="K66" s="4">
        <v>67</v>
      </c>
      <c r="L66" s="4">
        <v>215</v>
      </c>
      <c r="M66" s="4">
        <v>347</v>
      </c>
      <c r="N66" s="4">
        <f t="shared" si="1"/>
        <v>562</v>
      </c>
      <c r="O66" s="4">
        <v>30</v>
      </c>
      <c r="P66" s="4">
        <v>169</v>
      </c>
      <c r="Q66" s="4">
        <v>199</v>
      </c>
      <c r="R66" s="6">
        <f t="shared" si="2"/>
        <v>4.7673098751418841E-2</v>
      </c>
      <c r="S66" s="6">
        <f t="shared" si="3"/>
        <v>0.28033472803347281</v>
      </c>
      <c r="T66" s="6">
        <f t="shared" si="4"/>
        <v>0.35409252669039148</v>
      </c>
    </row>
    <row r="67" spans="1:20" x14ac:dyDescent="0.25">
      <c r="A67" s="3" t="s">
        <v>62</v>
      </c>
      <c r="B67" s="4">
        <v>805</v>
      </c>
      <c r="C67" s="4">
        <v>28</v>
      </c>
      <c r="D67" s="4">
        <v>462</v>
      </c>
      <c r="E67" s="4">
        <v>1295</v>
      </c>
      <c r="F67" s="4">
        <v>116</v>
      </c>
      <c r="G67" s="4">
        <v>129</v>
      </c>
      <c r="H67" s="4">
        <f t="shared" si="0"/>
        <v>245</v>
      </c>
      <c r="I67" s="4">
        <v>14</v>
      </c>
      <c r="J67" s="4">
        <v>27</v>
      </c>
      <c r="K67" s="4">
        <v>41</v>
      </c>
      <c r="L67" s="4">
        <v>183</v>
      </c>
      <c r="M67" s="4">
        <v>285</v>
      </c>
      <c r="N67" s="4">
        <f t="shared" si="1"/>
        <v>468</v>
      </c>
      <c r="O67" s="4">
        <v>18</v>
      </c>
      <c r="P67" s="4">
        <v>83</v>
      </c>
      <c r="Q67" s="4">
        <v>101</v>
      </c>
      <c r="R67" s="6">
        <f t="shared" si="2"/>
        <v>3.3613445378151259E-2</v>
      </c>
      <c r="S67" s="6">
        <f t="shared" si="3"/>
        <v>0.16734693877551021</v>
      </c>
      <c r="T67" s="6">
        <f t="shared" si="4"/>
        <v>0.21581196581196582</v>
      </c>
    </row>
    <row r="68" spans="1:20" x14ac:dyDescent="0.25">
      <c r="A68" s="3" t="s">
        <v>63</v>
      </c>
      <c r="B68" s="4">
        <v>1356</v>
      </c>
      <c r="C68" s="4">
        <v>52</v>
      </c>
      <c r="D68" s="4">
        <v>859</v>
      </c>
      <c r="E68" s="4">
        <v>2267</v>
      </c>
      <c r="F68" s="4">
        <v>177</v>
      </c>
      <c r="G68" s="4">
        <v>219</v>
      </c>
      <c r="H68" s="4">
        <f t="shared" si="0"/>
        <v>396</v>
      </c>
      <c r="I68" s="4">
        <v>31</v>
      </c>
      <c r="J68" s="4">
        <v>47</v>
      </c>
      <c r="K68" s="4">
        <v>78</v>
      </c>
      <c r="L68" s="4">
        <v>356</v>
      </c>
      <c r="M68" s="4">
        <v>468</v>
      </c>
      <c r="N68" s="4">
        <f t="shared" si="1"/>
        <v>824</v>
      </c>
      <c r="O68" s="4">
        <v>32</v>
      </c>
      <c r="P68" s="4">
        <v>181</v>
      </c>
      <c r="Q68" s="4">
        <v>213</v>
      </c>
      <c r="R68" s="6">
        <f t="shared" si="2"/>
        <v>3.6931818181818184E-2</v>
      </c>
      <c r="S68" s="6">
        <f t="shared" si="3"/>
        <v>0.19696969696969696</v>
      </c>
      <c r="T68" s="6">
        <f t="shared" si="4"/>
        <v>0.25849514563106796</v>
      </c>
    </row>
    <row r="69" spans="1:20" x14ac:dyDescent="0.25">
      <c r="A69" s="3" t="s">
        <v>64</v>
      </c>
      <c r="B69" s="4">
        <v>988</v>
      </c>
      <c r="C69" s="4">
        <v>60</v>
      </c>
      <c r="D69" s="4">
        <v>522</v>
      </c>
      <c r="E69" s="4">
        <v>1570</v>
      </c>
      <c r="F69" s="4">
        <v>135</v>
      </c>
      <c r="G69" s="4">
        <v>129</v>
      </c>
      <c r="H69" s="4">
        <f t="shared" ref="H69:H97" si="5">F69+G69</f>
        <v>264</v>
      </c>
      <c r="I69" s="4">
        <v>28</v>
      </c>
      <c r="J69" s="4">
        <v>35</v>
      </c>
      <c r="K69" s="4">
        <v>63</v>
      </c>
      <c r="L69" s="4">
        <v>259</v>
      </c>
      <c r="M69" s="4">
        <v>305</v>
      </c>
      <c r="N69" s="4">
        <f t="shared" ref="N69:N97" si="6">L69+M69</f>
        <v>564</v>
      </c>
      <c r="O69" s="4">
        <v>40</v>
      </c>
      <c r="P69" s="4">
        <v>100</v>
      </c>
      <c r="Q69" s="4">
        <v>140</v>
      </c>
      <c r="R69" s="6">
        <f t="shared" si="2"/>
        <v>5.7251908396946563E-2</v>
      </c>
      <c r="S69" s="6">
        <f t="shared" si="3"/>
        <v>0.23863636363636365</v>
      </c>
      <c r="T69" s="6">
        <f t="shared" si="4"/>
        <v>0.24822695035460993</v>
      </c>
    </row>
    <row r="70" spans="1:20" x14ac:dyDescent="0.25">
      <c r="A70" s="3" t="s">
        <v>65</v>
      </c>
      <c r="B70" s="4">
        <v>770</v>
      </c>
      <c r="C70" s="4">
        <v>49</v>
      </c>
      <c r="D70" s="4">
        <v>518</v>
      </c>
      <c r="E70" s="4">
        <v>1337</v>
      </c>
      <c r="F70" s="4">
        <v>92</v>
      </c>
      <c r="G70" s="4">
        <v>93</v>
      </c>
      <c r="H70" s="4">
        <f t="shared" si="5"/>
        <v>185</v>
      </c>
      <c r="I70" s="4">
        <v>21</v>
      </c>
      <c r="J70" s="4">
        <v>26</v>
      </c>
      <c r="K70" s="4">
        <v>47</v>
      </c>
      <c r="L70" s="4">
        <v>178</v>
      </c>
      <c r="M70" s="4">
        <v>258</v>
      </c>
      <c r="N70" s="4">
        <f t="shared" si="6"/>
        <v>436</v>
      </c>
      <c r="O70" s="4">
        <v>33</v>
      </c>
      <c r="P70" s="4">
        <v>87</v>
      </c>
      <c r="Q70" s="4">
        <v>120</v>
      </c>
      <c r="R70" s="6">
        <f t="shared" ref="R70:R97" si="7">C70/(B70+C70)</f>
        <v>5.9829059829059832E-2</v>
      </c>
      <c r="S70" s="6">
        <f t="shared" ref="S70:S97" si="8">K70/H70</f>
        <v>0.25405405405405407</v>
      </c>
      <c r="T70" s="6">
        <f t="shared" ref="T70:T97" si="9">Q70/N70</f>
        <v>0.27522935779816515</v>
      </c>
    </row>
    <row r="71" spans="1:20" x14ac:dyDescent="0.25">
      <c r="A71" s="3" t="s">
        <v>66</v>
      </c>
      <c r="B71" s="4">
        <v>1165</v>
      </c>
      <c r="C71" s="4">
        <v>42</v>
      </c>
      <c r="D71" s="4">
        <v>698</v>
      </c>
      <c r="E71" s="4">
        <v>1905</v>
      </c>
      <c r="F71" s="4">
        <v>163</v>
      </c>
      <c r="G71" s="4">
        <v>157</v>
      </c>
      <c r="H71" s="4">
        <f t="shared" si="5"/>
        <v>320</v>
      </c>
      <c r="I71" s="4">
        <v>34</v>
      </c>
      <c r="J71" s="4">
        <v>45</v>
      </c>
      <c r="K71" s="4">
        <v>79</v>
      </c>
      <c r="L71" s="4">
        <v>288</v>
      </c>
      <c r="M71" s="4">
        <v>354</v>
      </c>
      <c r="N71" s="4">
        <f t="shared" si="6"/>
        <v>642</v>
      </c>
      <c r="O71" s="4">
        <v>42</v>
      </c>
      <c r="P71" s="4">
        <v>131</v>
      </c>
      <c r="Q71" s="4">
        <v>173</v>
      </c>
      <c r="R71" s="6">
        <f t="shared" si="7"/>
        <v>3.4797017398508698E-2</v>
      </c>
      <c r="S71" s="6">
        <f t="shared" si="8"/>
        <v>0.24687500000000001</v>
      </c>
      <c r="T71" s="6">
        <f t="shared" si="9"/>
        <v>0.26947040498442365</v>
      </c>
    </row>
    <row r="72" spans="1:20" x14ac:dyDescent="0.25">
      <c r="A72" s="3" t="s">
        <v>67</v>
      </c>
      <c r="B72" s="4">
        <v>876</v>
      </c>
      <c r="C72" s="4">
        <v>66</v>
      </c>
      <c r="D72" s="4">
        <v>563</v>
      </c>
      <c r="E72" s="4">
        <v>1505</v>
      </c>
      <c r="F72" s="4">
        <v>124</v>
      </c>
      <c r="G72" s="4">
        <v>128</v>
      </c>
      <c r="H72" s="4">
        <f t="shared" si="5"/>
        <v>252</v>
      </c>
      <c r="I72" s="4">
        <v>30</v>
      </c>
      <c r="J72" s="4">
        <v>46</v>
      </c>
      <c r="K72" s="4">
        <v>76</v>
      </c>
      <c r="L72" s="4">
        <v>251</v>
      </c>
      <c r="M72" s="4">
        <v>296</v>
      </c>
      <c r="N72" s="4">
        <f t="shared" si="6"/>
        <v>547</v>
      </c>
      <c r="O72" s="4">
        <v>33</v>
      </c>
      <c r="P72" s="4">
        <v>139</v>
      </c>
      <c r="Q72" s="4">
        <v>172</v>
      </c>
      <c r="R72" s="6">
        <f t="shared" si="7"/>
        <v>7.0063694267515922E-2</v>
      </c>
      <c r="S72" s="6">
        <f t="shared" si="8"/>
        <v>0.30158730158730157</v>
      </c>
      <c r="T72" s="6">
        <f t="shared" si="9"/>
        <v>0.31444241316270566</v>
      </c>
    </row>
    <row r="73" spans="1:20" x14ac:dyDescent="0.25">
      <c r="A73" s="3" t="s">
        <v>68</v>
      </c>
      <c r="B73" s="4">
        <v>820</v>
      </c>
      <c r="C73" s="4">
        <v>32</v>
      </c>
      <c r="D73" s="4">
        <v>498</v>
      </c>
      <c r="E73" s="4">
        <v>1350</v>
      </c>
      <c r="F73" s="4">
        <v>91</v>
      </c>
      <c r="G73" s="4">
        <v>99</v>
      </c>
      <c r="H73" s="4">
        <f t="shared" si="5"/>
        <v>190</v>
      </c>
      <c r="I73" s="4">
        <v>21</v>
      </c>
      <c r="J73" s="4">
        <v>25</v>
      </c>
      <c r="K73" s="4">
        <v>46</v>
      </c>
      <c r="L73" s="4">
        <v>200</v>
      </c>
      <c r="M73" s="4">
        <v>266</v>
      </c>
      <c r="N73" s="4">
        <f t="shared" si="6"/>
        <v>466</v>
      </c>
      <c r="O73" s="4">
        <v>25</v>
      </c>
      <c r="P73" s="4">
        <v>115</v>
      </c>
      <c r="Q73" s="4">
        <v>140</v>
      </c>
      <c r="R73" s="6">
        <f t="shared" si="7"/>
        <v>3.7558685446009391E-2</v>
      </c>
      <c r="S73" s="6">
        <f t="shared" si="8"/>
        <v>0.24210526315789474</v>
      </c>
      <c r="T73" s="6">
        <f t="shared" si="9"/>
        <v>0.30042918454935624</v>
      </c>
    </row>
    <row r="74" spans="1:20" x14ac:dyDescent="0.25">
      <c r="A74" s="3" t="s">
        <v>69</v>
      </c>
      <c r="B74" s="4">
        <v>1336</v>
      </c>
      <c r="C74" s="4">
        <v>107</v>
      </c>
      <c r="D74" s="4">
        <v>988</v>
      </c>
      <c r="E74" s="4">
        <v>2431</v>
      </c>
      <c r="F74" s="4">
        <v>212</v>
      </c>
      <c r="G74" s="4">
        <v>195</v>
      </c>
      <c r="H74" s="4">
        <f t="shared" si="5"/>
        <v>407</v>
      </c>
      <c r="I74" s="4">
        <v>68</v>
      </c>
      <c r="J74" s="4">
        <v>71</v>
      </c>
      <c r="K74" s="4">
        <v>139</v>
      </c>
      <c r="L74" s="4">
        <v>380</v>
      </c>
      <c r="M74" s="4">
        <v>495</v>
      </c>
      <c r="N74" s="4">
        <f t="shared" si="6"/>
        <v>875</v>
      </c>
      <c r="O74" s="4">
        <v>56</v>
      </c>
      <c r="P74" s="4">
        <v>222</v>
      </c>
      <c r="Q74" s="4">
        <v>278</v>
      </c>
      <c r="R74" s="6">
        <f t="shared" si="7"/>
        <v>7.4151074151074151E-2</v>
      </c>
      <c r="S74" s="6">
        <f t="shared" si="8"/>
        <v>0.34152334152334152</v>
      </c>
      <c r="T74" s="6">
        <f t="shared" si="9"/>
        <v>0.31771428571428573</v>
      </c>
    </row>
    <row r="75" spans="1:20" x14ac:dyDescent="0.25">
      <c r="A75" s="3" t="s">
        <v>70</v>
      </c>
      <c r="B75" s="4">
        <v>1495</v>
      </c>
      <c r="C75" s="4">
        <v>116</v>
      </c>
      <c r="D75" s="4">
        <v>1088</v>
      </c>
      <c r="E75" s="4">
        <v>2699</v>
      </c>
      <c r="F75" s="4">
        <v>205</v>
      </c>
      <c r="G75" s="4">
        <v>272</v>
      </c>
      <c r="H75" s="4">
        <f t="shared" si="5"/>
        <v>477</v>
      </c>
      <c r="I75" s="4">
        <v>43</v>
      </c>
      <c r="J75" s="4">
        <v>88</v>
      </c>
      <c r="K75" s="4">
        <v>131</v>
      </c>
      <c r="L75" s="4">
        <v>449</v>
      </c>
      <c r="M75" s="4">
        <v>606</v>
      </c>
      <c r="N75" s="4">
        <f t="shared" si="6"/>
        <v>1055</v>
      </c>
      <c r="O75" s="4">
        <v>66</v>
      </c>
      <c r="P75" s="4">
        <v>264</v>
      </c>
      <c r="Q75" s="4">
        <v>330</v>
      </c>
      <c r="R75" s="6">
        <f t="shared" si="7"/>
        <v>7.2004965859714457E-2</v>
      </c>
      <c r="S75" s="6">
        <f t="shared" si="8"/>
        <v>0.27463312368972748</v>
      </c>
      <c r="T75" s="6">
        <f t="shared" si="9"/>
        <v>0.3127962085308057</v>
      </c>
    </row>
    <row r="76" spans="1:20" x14ac:dyDescent="0.25">
      <c r="A76" s="3" t="s">
        <v>71</v>
      </c>
      <c r="B76" s="4">
        <v>896</v>
      </c>
      <c r="C76" s="4">
        <v>77</v>
      </c>
      <c r="D76" s="4">
        <v>717</v>
      </c>
      <c r="E76" s="4">
        <v>1690</v>
      </c>
      <c r="F76" s="4">
        <v>124</v>
      </c>
      <c r="G76" s="4">
        <v>150</v>
      </c>
      <c r="H76" s="4">
        <f t="shared" si="5"/>
        <v>274</v>
      </c>
      <c r="I76" s="4">
        <v>33</v>
      </c>
      <c r="J76" s="4">
        <v>32</v>
      </c>
      <c r="K76" s="4">
        <v>65</v>
      </c>
      <c r="L76" s="4">
        <v>266</v>
      </c>
      <c r="M76" s="4">
        <v>353</v>
      </c>
      <c r="N76" s="4">
        <f t="shared" si="6"/>
        <v>619</v>
      </c>
      <c r="O76" s="4">
        <v>44</v>
      </c>
      <c r="P76" s="4">
        <v>170</v>
      </c>
      <c r="Q76" s="4">
        <v>214</v>
      </c>
      <c r="R76" s="6">
        <f t="shared" si="7"/>
        <v>7.9136690647482008E-2</v>
      </c>
      <c r="S76" s="6">
        <f t="shared" si="8"/>
        <v>0.23722627737226276</v>
      </c>
      <c r="T76" s="6">
        <f t="shared" si="9"/>
        <v>0.34571890145395801</v>
      </c>
    </row>
    <row r="77" spans="1:20" x14ac:dyDescent="0.25">
      <c r="A77" s="3" t="s">
        <v>72</v>
      </c>
      <c r="B77" s="4">
        <v>1104</v>
      </c>
      <c r="C77" s="4">
        <v>66</v>
      </c>
      <c r="D77" s="4">
        <v>882</v>
      </c>
      <c r="E77" s="4">
        <v>2052</v>
      </c>
      <c r="F77" s="4">
        <v>186</v>
      </c>
      <c r="G77" s="4">
        <v>187</v>
      </c>
      <c r="H77" s="4">
        <f t="shared" si="5"/>
        <v>373</v>
      </c>
      <c r="I77" s="4">
        <v>42</v>
      </c>
      <c r="J77" s="4">
        <v>99</v>
      </c>
      <c r="K77" s="4">
        <v>141</v>
      </c>
      <c r="L77" s="4">
        <v>295</v>
      </c>
      <c r="M77" s="4">
        <v>417</v>
      </c>
      <c r="N77" s="4">
        <f t="shared" si="6"/>
        <v>712</v>
      </c>
      <c r="O77" s="4">
        <v>43</v>
      </c>
      <c r="P77" s="4">
        <v>248</v>
      </c>
      <c r="Q77" s="4">
        <v>291</v>
      </c>
      <c r="R77" s="6">
        <f t="shared" si="7"/>
        <v>5.6410256410256411E-2</v>
      </c>
      <c r="S77" s="6">
        <f t="shared" si="8"/>
        <v>0.37801608579088469</v>
      </c>
      <c r="T77" s="6">
        <f t="shared" si="9"/>
        <v>0.40870786516853935</v>
      </c>
    </row>
    <row r="78" spans="1:20" x14ac:dyDescent="0.25">
      <c r="A78" s="3" t="s">
        <v>73</v>
      </c>
      <c r="B78" s="4">
        <v>898</v>
      </c>
      <c r="C78" s="4">
        <v>46</v>
      </c>
      <c r="D78" s="4">
        <v>785</v>
      </c>
      <c r="E78" s="4">
        <v>1729</v>
      </c>
      <c r="F78" s="4">
        <v>173</v>
      </c>
      <c r="G78" s="4">
        <v>156</v>
      </c>
      <c r="H78" s="4">
        <f t="shared" si="5"/>
        <v>329</v>
      </c>
      <c r="I78" s="4">
        <v>47</v>
      </c>
      <c r="J78" s="4">
        <v>59</v>
      </c>
      <c r="K78" s="4">
        <v>106</v>
      </c>
      <c r="L78" s="4">
        <v>295</v>
      </c>
      <c r="M78" s="4">
        <v>314</v>
      </c>
      <c r="N78" s="4">
        <f t="shared" si="6"/>
        <v>609</v>
      </c>
      <c r="O78" s="4">
        <v>67</v>
      </c>
      <c r="P78" s="4">
        <v>148</v>
      </c>
      <c r="Q78" s="4">
        <v>215</v>
      </c>
      <c r="R78" s="6">
        <f t="shared" si="7"/>
        <v>4.8728813559322036E-2</v>
      </c>
      <c r="S78" s="6">
        <f t="shared" si="8"/>
        <v>0.32218844984802431</v>
      </c>
      <c r="T78" s="6">
        <f t="shared" si="9"/>
        <v>0.35303776683087029</v>
      </c>
    </row>
    <row r="79" spans="1:20" x14ac:dyDescent="0.25">
      <c r="A79" s="3" t="s">
        <v>74</v>
      </c>
      <c r="B79" s="4">
        <v>710</v>
      </c>
      <c r="C79" s="4">
        <v>88</v>
      </c>
      <c r="D79" s="4">
        <v>537</v>
      </c>
      <c r="E79" s="4">
        <v>1335</v>
      </c>
      <c r="F79" s="4">
        <v>116</v>
      </c>
      <c r="G79" s="4">
        <v>125</v>
      </c>
      <c r="H79" s="4">
        <f t="shared" si="5"/>
        <v>241</v>
      </c>
      <c r="I79" s="4">
        <v>44</v>
      </c>
      <c r="J79" s="4">
        <v>45</v>
      </c>
      <c r="K79" s="4">
        <v>89</v>
      </c>
      <c r="L79" s="4">
        <v>237</v>
      </c>
      <c r="M79" s="4">
        <v>291</v>
      </c>
      <c r="N79" s="4">
        <f t="shared" si="6"/>
        <v>528</v>
      </c>
      <c r="O79" s="4">
        <v>62</v>
      </c>
      <c r="P79" s="4">
        <v>133</v>
      </c>
      <c r="Q79" s="4">
        <v>195</v>
      </c>
      <c r="R79" s="6">
        <f t="shared" si="7"/>
        <v>0.11027568922305764</v>
      </c>
      <c r="S79" s="6">
        <f t="shared" si="8"/>
        <v>0.36929460580912865</v>
      </c>
      <c r="T79" s="6">
        <f t="shared" si="9"/>
        <v>0.36931818181818182</v>
      </c>
    </row>
    <row r="80" spans="1:20" x14ac:dyDescent="0.25">
      <c r="A80" s="3" t="s">
        <v>75</v>
      </c>
      <c r="B80" s="4">
        <v>343</v>
      </c>
      <c r="C80" s="4">
        <v>7</v>
      </c>
      <c r="D80" s="4">
        <v>305</v>
      </c>
      <c r="E80" s="4">
        <v>655</v>
      </c>
      <c r="F80" s="4">
        <v>49</v>
      </c>
      <c r="G80" s="4">
        <v>35</v>
      </c>
      <c r="H80" s="4">
        <f t="shared" si="5"/>
        <v>84</v>
      </c>
      <c r="I80" s="4">
        <v>9</v>
      </c>
      <c r="J80" s="4">
        <v>16</v>
      </c>
      <c r="K80" s="4">
        <v>25</v>
      </c>
      <c r="L80" s="4">
        <v>100</v>
      </c>
      <c r="M80" s="4">
        <v>114</v>
      </c>
      <c r="N80" s="4">
        <f t="shared" si="6"/>
        <v>214</v>
      </c>
      <c r="O80" s="4">
        <v>16</v>
      </c>
      <c r="P80" s="4">
        <v>45</v>
      </c>
      <c r="Q80" s="4">
        <v>61</v>
      </c>
      <c r="R80" s="6">
        <f t="shared" si="7"/>
        <v>0.02</v>
      </c>
      <c r="S80" s="6">
        <f t="shared" si="8"/>
        <v>0.29761904761904762</v>
      </c>
      <c r="T80" s="6">
        <f t="shared" si="9"/>
        <v>0.28504672897196259</v>
      </c>
    </row>
    <row r="81" spans="1:20" x14ac:dyDescent="0.25">
      <c r="A81" s="3" t="s">
        <v>76</v>
      </c>
      <c r="B81" s="4">
        <v>965</v>
      </c>
      <c r="C81" s="4">
        <v>78</v>
      </c>
      <c r="D81" s="4">
        <v>733</v>
      </c>
      <c r="E81" s="4">
        <v>1776</v>
      </c>
      <c r="F81" s="4">
        <v>165</v>
      </c>
      <c r="G81" s="4">
        <v>148</v>
      </c>
      <c r="H81" s="4">
        <f t="shared" si="5"/>
        <v>313</v>
      </c>
      <c r="I81" s="4">
        <v>37</v>
      </c>
      <c r="J81" s="4">
        <v>42</v>
      </c>
      <c r="K81" s="4">
        <v>79</v>
      </c>
      <c r="L81" s="4">
        <v>359</v>
      </c>
      <c r="M81" s="4">
        <v>333</v>
      </c>
      <c r="N81" s="4">
        <f t="shared" si="6"/>
        <v>692</v>
      </c>
      <c r="O81" s="4">
        <v>67</v>
      </c>
      <c r="P81" s="4">
        <v>134</v>
      </c>
      <c r="Q81" s="4">
        <v>201</v>
      </c>
      <c r="R81" s="6">
        <f t="shared" si="7"/>
        <v>7.4784276126558011E-2</v>
      </c>
      <c r="S81" s="6">
        <f t="shared" si="8"/>
        <v>0.25239616613418531</v>
      </c>
      <c r="T81" s="6">
        <f t="shared" si="9"/>
        <v>0.29046242774566472</v>
      </c>
    </row>
    <row r="82" spans="1:20" x14ac:dyDescent="0.25">
      <c r="A82" s="3" t="s">
        <v>77</v>
      </c>
      <c r="B82" s="4">
        <v>547</v>
      </c>
      <c r="C82" s="4">
        <v>24</v>
      </c>
      <c r="D82" s="4">
        <v>582</v>
      </c>
      <c r="E82" s="4">
        <v>1153</v>
      </c>
      <c r="F82" s="4">
        <v>84</v>
      </c>
      <c r="G82" s="4">
        <v>83</v>
      </c>
      <c r="H82" s="4">
        <f t="shared" si="5"/>
        <v>167</v>
      </c>
      <c r="I82" s="4">
        <v>19</v>
      </c>
      <c r="J82" s="4">
        <v>41</v>
      </c>
      <c r="K82" s="4">
        <v>60</v>
      </c>
      <c r="L82" s="4">
        <v>163</v>
      </c>
      <c r="M82" s="4">
        <v>201</v>
      </c>
      <c r="N82" s="4">
        <f t="shared" si="6"/>
        <v>364</v>
      </c>
      <c r="O82" s="4">
        <v>29</v>
      </c>
      <c r="P82" s="4">
        <v>107</v>
      </c>
      <c r="Q82" s="4">
        <v>136</v>
      </c>
      <c r="R82" s="6">
        <f t="shared" si="7"/>
        <v>4.2031523642732049E-2</v>
      </c>
      <c r="S82" s="6">
        <f t="shared" si="8"/>
        <v>0.3592814371257485</v>
      </c>
      <c r="T82" s="6">
        <f t="shared" si="9"/>
        <v>0.37362637362637363</v>
      </c>
    </row>
    <row r="83" spans="1:20" x14ac:dyDescent="0.25">
      <c r="A83" s="3" t="s">
        <v>78</v>
      </c>
      <c r="B83" s="4">
        <v>769</v>
      </c>
      <c r="C83" s="4">
        <v>49</v>
      </c>
      <c r="D83" s="4">
        <v>436</v>
      </c>
      <c r="E83" s="4">
        <v>1254</v>
      </c>
      <c r="F83" s="4">
        <v>89</v>
      </c>
      <c r="G83" s="4">
        <v>95</v>
      </c>
      <c r="H83" s="4">
        <f t="shared" si="5"/>
        <v>184</v>
      </c>
      <c r="I83" s="4">
        <v>17</v>
      </c>
      <c r="J83" s="4">
        <v>26</v>
      </c>
      <c r="K83" s="4">
        <v>43</v>
      </c>
      <c r="L83" s="4">
        <v>232</v>
      </c>
      <c r="M83" s="4">
        <v>229</v>
      </c>
      <c r="N83" s="4">
        <f t="shared" si="6"/>
        <v>461</v>
      </c>
      <c r="O83" s="4">
        <v>46</v>
      </c>
      <c r="P83" s="4">
        <v>83</v>
      </c>
      <c r="Q83" s="4">
        <v>129</v>
      </c>
      <c r="R83" s="6">
        <f t="shared" si="7"/>
        <v>5.9902200488997553E-2</v>
      </c>
      <c r="S83" s="6">
        <f t="shared" si="8"/>
        <v>0.23369565217391305</v>
      </c>
      <c r="T83" s="6">
        <f t="shared" si="9"/>
        <v>0.27982646420824298</v>
      </c>
    </row>
    <row r="84" spans="1:20" x14ac:dyDescent="0.25">
      <c r="A84" s="3" t="s">
        <v>79</v>
      </c>
      <c r="B84" s="4">
        <v>827</v>
      </c>
      <c r="C84" s="4">
        <v>66</v>
      </c>
      <c r="D84" s="4">
        <v>838</v>
      </c>
      <c r="E84" s="4">
        <v>1731</v>
      </c>
      <c r="F84" s="4">
        <v>133</v>
      </c>
      <c r="G84" s="4">
        <v>147</v>
      </c>
      <c r="H84" s="4">
        <f t="shared" si="5"/>
        <v>280</v>
      </c>
      <c r="I84" s="4">
        <v>42</v>
      </c>
      <c r="J84" s="4">
        <v>64</v>
      </c>
      <c r="K84" s="4">
        <v>106</v>
      </c>
      <c r="L84" s="4">
        <v>268</v>
      </c>
      <c r="M84" s="4">
        <v>340</v>
      </c>
      <c r="N84" s="4">
        <f t="shared" si="6"/>
        <v>608</v>
      </c>
      <c r="O84" s="4">
        <v>72</v>
      </c>
      <c r="P84" s="4">
        <v>178</v>
      </c>
      <c r="Q84" s="4">
        <v>250</v>
      </c>
      <c r="R84" s="6">
        <f t="shared" si="7"/>
        <v>7.3908174692049272E-2</v>
      </c>
      <c r="S84" s="6">
        <f t="shared" si="8"/>
        <v>0.37857142857142856</v>
      </c>
      <c r="T84" s="6">
        <f t="shared" si="9"/>
        <v>0.41118421052631576</v>
      </c>
    </row>
    <row r="85" spans="1:20" x14ac:dyDescent="0.25">
      <c r="A85" s="3" t="s">
        <v>80</v>
      </c>
      <c r="B85" s="4">
        <v>721</v>
      </c>
      <c r="C85" s="4">
        <v>34</v>
      </c>
      <c r="D85" s="4">
        <v>799</v>
      </c>
      <c r="E85" s="4">
        <v>1554</v>
      </c>
      <c r="F85" s="4">
        <v>135</v>
      </c>
      <c r="G85" s="4">
        <v>147</v>
      </c>
      <c r="H85" s="4">
        <f t="shared" si="5"/>
        <v>282</v>
      </c>
      <c r="I85" s="4">
        <v>36</v>
      </c>
      <c r="J85" s="4">
        <v>33</v>
      </c>
      <c r="K85" s="4">
        <v>69</v>
      </c>
      <c r="L85" s="4">
        <v>237</v>
      </c>
      <c r="M85" s="4">
        <v>346</v>
      </c>
      <c r="N85" s="4">
        <f t="shared" si="6"/>
        <v>583</v>
      </c>
      <c r="O85" s="4">
        <v>53</v>
      </c>
      <c r="P85" s="4">
        <v>165</v>
      </c>
      <c r="Q85" s="4">
        <v>218</v>
      </c>
      <c r="R85" s="6">
        <f t="shared" si="7"/>
        <v>4.5033112582781455E-2</v>
      </c>
      <c r="S85" s="6">
        <f t="shared" si="8"/>
        <v>0.24468085106382978</v>
      </c>
      <c r="T85" s="6">
        <f t="shared" si="9"/>
        <v>0.37392795883361923</v>
      </c>
    </row>
    <row r="86" spans="1:20" x14ac:dyDescent="0.25">
      <c r="A86" s="3" t="s">
        <v>81</v>
      </c>
      <c r="B86" s="4">
        <v>1028</v>
      </c>
      <c r="C86" s="4">
        <v>53</v>
      </c>
      <c r="D86" s="4">
        <v>921</v>
      </c>
      <c r="E86" s="4">
        <v>2002</v>
      </c>
      <c r="F86" s="4">
        <v>185</v>
      </c>
      <c r="G86" s="4">
        <v>236</v>
      </c>
      <c r="H86" s="4">
        <f t="shared" si="5"/>
        <v>421</v>
      </c>
      <c r="I86" s="4">
        <v>35</v>
      </c>
      <c r="J86" s="4">
        <v>44</v>
      </c>
      <c r="K86" s="4">
        <v>79</v>
      </c>
      <c r="L86" s="4">
        <v>278</v>
      </c>
      <c r="M86" s="4">
        <v>409</v>
      </c>
      <c r="N86" s="4">
        <f t="shared" si="6"/>
        <v>687</v>
      </c>
      <c r="O86" s="4">
        <v>62</v>
      </c>
      <c r="P86" s="4">
        <v>157</v>
      </c>
      <c r="Q86" s="4">
        <v>219</v>
      </c>
      <c r="R86" s="6">
        <f t="shared" si="7"/>
        <v>4.9028677150786307E-2</v>
      </c>
      <c r="S86" s="6">
        <f t="shared" si="8"/>
        <v>0.18764845605700711</v>
      </c>
      <c r="T86" s="6">
        <f t="shared" si="9"/>
        <v>0.31877729257641924</v>
      </c>
    </row>
    <row r="87" spans="1:20" x14ac:dyDescent="0.25">
      <c r="A87" s="3" t="s">
        <v>82</v>
      </c>
      <c r="B87" s="4">
        <v>729</v>
      </c>
      <c r="C87" s="4">
        <v>69</v>
      </c>
      <c r="D87" s="4">
        <v>785</v>
      </c>
      <c r="E87" s="4">
        <v>1583</v>
      </c>
      <c r="F87" s="4">
        <v>136</v>
      </c>
      <c r="G87" s="4">
        <v>172</v>
      </c>
      <c r="H87" s="4">
        <f t="shared" si="5"/>
        <v>308</v>
      </c>
      <c r="I87" s="4">
        <v>44</v>
      </c>
      <c r="J87" s="4">
        <v>37</v>
      </c>
      <c r="K87" s="4">
        <v>81</v>
      </c>
      <c r="L87" s="4">
        <v>249</v>
      </c>
      <c r="M87" s="4">
        <v>318</v>
      </c>
      <c r="N87" s="4">
        <f t="shared" si="6"/>
        <v>567</v>
      </c>
      <c r="O87" s="4">
        <v>74</v>
      </c>
      <c r="P87" s="4">
        <v>127</v>
      </c>
      <c r="Q87" s="4">
        <v>201</v>
      </c>
      <c r="R87" s="6">
        <f t="shared" si="7"/>
        <v>8.646616541353383E-2</v>
      </c>
      <c r="S87" s="6">
        <f t="shared" si="8"/>
        <v>0.26298701298701299</v>
      </c>
      <c r="T87" s="6">
        <f t="shared" si="9"/>
        <v>0.35449735449735448</v>
      </c>
    </row>
    <row r="88" spans="1:20" x14ac:dyDescent="0.25">
      <c r="A88" s="3" t="s">
        <v>83</v>
      </c>
      <c r="B88" s="4">
        <v>904</v>
      </c>
      <c r="C88" s="4">
        <v>57</v>
      </c>
      <c r="D88" s="4">
        <v>773</v>
      </c>
      <c r="E88" s="4">
        <v>1734</v>
      </c>
      <c r="F88" s="4">
        <v>142</v>
      </c>
      <c r="G88" s="4">
        <v>186</v>
      </c>
      <c r="H88" s="4">
        <f t="shared" si="5"/>
        <v>328</v>
      </c>
      <c r="I88" s="4">
        <v>29</v>
      </c>
      <c r="J88" s="4">
        <v>45</v>
      </c>
      <c r="K88" s="4">
        <v>74</v>
      </c>
      <c r="L88" s="4">
        <v>254</v>
      </c>
      <c r="M88" s="4">
        <v>317</v>
      </c>
      <c r="N88" s="4">
        <f t="shared" si="6"/>
        <v>571</v>
      </c>
      <c r="O88" s="4">
        <v>51</v>
      </c>
      <c r="P88" s="4">
        <v>124</v>
      </c>
      <c r="Q88" s="4">
        <v>175</v>
      </c>
      <c r="R88" s="6">
        <f t="shared" si="7"/>
        <v>5.9313215400624349E-2</v>
      </c>
      <c r="S88" s="6">
        <f t="shared" si="8"/>
        <v>0.22560975609756098</v>
      </c>
      <c r="T88" s="6">
        <f t="shared" si="9"/>
        <v>0.30647985989492121</v>
      </c>
    </row>
    <row r="89" spans="1:20" x14ac:dyDescent="0.25">
      <c r="A89" s="3" t="s">
        <v>84</v>
      </c>
      <c r="B89" s="4">
        <v>1149</v>
      </c>
      <c r="C89" s="4">
        <v>86</v>
      </c>
      <c r="D89" s="4">
        <v>963</v>
      </c>
      <c r="E89" s="4">
        <v>2198</v>
      </c>
      <c r="F89" s="4">
        <v>190</v>
      </c>
      <c r="G89" s="4">
        <v>234</v>
      </c>
      <c r="H89" s="4">
        <f t="shared" si="5"/>
        <v>424</v>
      </c>
      <c r="I89" s="4">
        <v>51</v>
      </c>
      <c r="J89" s="4">
        <v>60</v>
      </c>
      <c r="K89" s="4">
        <v>111</v>
      </c>
      <c r="L89" s="4">
        <v>318</v>
      </c>
      <c r="M89" s="4">
        <v>457</v>
      </c>
      <c r="N89" s="4">
        <f t="shared" si="6"/>
        <v>775</v>
      </c>
      <c r="O89" s="4">
        <v>66</v>
      </c>
      <c r="P89" s="4">
        <v>204</v>
      </c>
      <c r="Q89" s="4">
        <v>270</v>
      </c>
      <c r="R89" s="6">
        <f t="shared" si="7"/>
        <v>6.9635627530364369E-2</v>
      </c>
      <c r="S89" s="6">
        <f t="shared" si="8"/>
        <v>0.2617924528301887</v>
      </c>
      <c r="T89" s="6">
        <f t="shared" si="9"/>
        <v>0.34838709677419355</v>
      </c>
    </row>
    <row r="90" spans="1:20" x14ac:dyDescent="0.25">
      <c r="A90" s="3" t="s">
        <v>85</v>
      </c>
      <c r="B90" s="4">
        <v>683</v>
      </c>
      <c r="C90" s="4">
        <v>85</v>
      </c>
      <c r="D90" s="4">
        <v>728</v>
      </c>
      <c r="E90" s="4">
        <v>1496</v>
      </c>
      <c r="F90" s="4">
        <v>118</v>
      </c>
      <c r="G90" s="4">
        <v>105</v>
      </c>
      <c r="H90" s="4">
        <f t="shared" si="5"/>
        <v>223</v>
      </c>
      <c r="I90" s="4">
        <v>33</v>
      </c>
      <c r="J90" s="4">
        <v>33</v>
      </c>
      <c r="K90" s="4">
        <v>66</v>
      </c>
      <c r="L90" s="4">
        <v>199</v>
      </c>
      <c r="M90" s="4">
        <v>213</v>
      </c>
      <c r="N90" s="4">
        <f t="shared" si="6"/>
        <v>412</v>
      </c>
      <c r="O90" s="4">
        <v>53</v>
      </c>
      <c r="P90" s="4">
        <v>102</v>
      </c>
      <c r="Q90" s="4">
        <v>155</v>
      </c>
      <c r="R90" s="6">
        <f t="shared" si="7"/>
        <v>0.11067708333333333</v>
      </c>
      <c r="S90" s="6">
        <f t="shared" si="8"/>
        <v>0.29596412556053814</v>
      </c>
      <c r="T90" s="6">
        <f t="shared" si="9"/>
        <v>0.37621359223300971</v>
      </c>
    </row>
    <row r="91" spans="1:20" x14ac:dyDescent="0.25">
      <c r="A91" s="3" t="s">
        <v>86</v>
      </c>
      <c r="B91" s="4">
        <v>782</v>
      </c>
      <c r="C91" s="4">
        <v>164</v>
      </c>
      <c r="D91" s="4">
        <v>744</v>
      </c>
      <c r="E91" s="4">
        <v>1690</v>
      </c>
      <c r="F91" s="4">
        <v>111</v>
      </c>
      <c r="G91" s="4">
        <v>167</v>
      </c>
      <c r="H91" s="4">
        <f t="shared" si="5"/>
        <v>278</v>
      </c>
      <c r="I91" s="4">
        <v>34</v>
      </c>
      <c r="J91" s="4">
        <v>53</v>
      </c>
      <c r="K91" s="4">
        <v>87</v>
      </c>
      <c r="L91" s="4">
        <v>228</v>
      </c>
      <c r="M91" s="4">
        <v>304</v>
      </c>
      <c r="N91" s="4">
        <f t="shared" si="6"/>
        <v>532</v>
      </c>
      <c r="O91" s="4">
        <v>58</v>
      </c>
      <c r="P91" s="4">
        <v>146</v>
      </c>
      <c r="Q91" s="4">
        <v>204</v>
      </c>
      <c r="R91" s="6">
        <f t="shared" si="7"/>
        <v>0.17336152219873149</v>
      </c>
      <c r="S91" s="6">
        <f t="shared" si="8"/>
        <v>0.31294964028776978</v>
      </c>
      <c r="T91" s="6">
        <f t="shared" si="9"/>
        <v>0.38345864661654133</v>
      </c>
    </row>
    <row r="92" spans="1:20" x14ac:dyDescent="0.25">
      <c r="A92" s="3" t="s">
        <v>87</v>
      </c>
      <c r="B92" s="4">
        <v>1796</v>
      </c>
      <c r="C92" s="4">
        <v>144</v>
      </c>
      <c r="D92" s="4">
        <v>1654</v>
      </c>
      <c r="E92" s="4">
        <v>3594</v>
      </c>
      <c r="F92" s="4">
        <v>468</v>
      </c>
      <c r="G92" s="4">
        <v>381</v>
      </c>
      <c r="H92" s="4">
        <f t="shared" si="5"/>
        <v>849</v>
      </c>
      <c r="I92" s="4">
        <v>97</v>
      </c>
      <c r="J92" s="4">
        <v>87</v>
      </c>
      <c r="K92" s="4">
        <v>184</v>
      </c>
      <c r="L92" s="4">
        <v>733</v>
      </c>
      <c r="M92" s="4">
        <v>729</v>
      </c>
      <c r="N92" s="4">
        <f t="shared" si="6"/>
        <v>1462</v>
      </c>
      <c r="O92" s="4">
        <v>163</v>
      </c>
      <c r="P92" s="4">
        <v>283</v>
      </c>
      <c r="Q92" s="4">
        <v>446</v>
      </c>
      <c r="R92" s="6">
        <f t="shared" si="7"/>
        <v>7.422680412371134E-2</v>
      </c>
      <c r="S92" s="6">
        <f t="shared" si="8"/>
        <v>0.21672555948174324</v>
      </c>
      <c r="T92" s="6">
        <f t="shared" si="9"/>
        <v>0.30506155950752395</v>
      </c>
    </row>
    <row r="93" spans="1:20" x14ac:dyDescent="0.25">
      <c r="A93" s="3" t="s">
        <v>88</v>
      </c>
      <c r="B93" s="4">
        <v>975</v>
      </c>
      <c r="C93" s="4">
        <v>89</v>
      </c>
      <c r="D93" s="4">
        <v>1110</v>
      </c>
      <c r="E93" s="4">
        <v>2174</v>
      </c>
      <c r="F93" s="4">
        <v>143</v>
      </c>
      <c r="G93" s="4">
        <v>180</v>
      </c>
      <c r="H93" s="4">
        <f t="shared" si="5"/>
        <v>323</v>
      </c>
      <c r="I93" s="4">
        <v>43</v>
      </c>
      <c r="J93" s="4">
        <v>40</v>
      </c>
      <c r="K93" s="4">
        <v>83</v>
      </c>
      <c r="L93" s="4">
        <v>284</v>
      </c>
      <c r="M93" s="4">
        <v>400</v>
      </c>
      <c r="N93" s="4">
        <f t="shared" si="6"/>
        <v>684</v>
      </c>
      <c r="O93" s="4">
        <v>73</v>
      </c>
      <c r="P93" s="4">
        <v>159</v>
      </c>
      <c r="Q93" s="4">
        <v>232</v>
      </c>
      <c r="R93" s="6">
        <f t="shared" si="7"/>
        <v>8.3646616541353386E-2</v>
      </c>
      <c r="S93" s="6">
        <f t="shared" si="8"/>
        <v>0.25696594427244585</v>
      </c>
      <c r="T93" s="6">
        <f t="shared" si="9"/>
        <v>0.33918128654970758</v>
      </c>
    </row>
    <row r="94" spans="1:20" x14ac:dyDescent="0.25">
      <c r="A94" s="3" t="s">
        <v>89</v>
      </c>
      <c r="B94" s="4">
        <v>1051</v>
      </c>
      <c r="C94" s="4">
        <v>141</v>
      </c>
      <c r="D94" s="4">
        <v>1108</v>
      </c>
      <c r="E94" s="4">
        <v>2300</v>
      </c>
      <c r="F94" s="4">
        <v>186</v>
      </c>
      <c r="G94" s="4">
        <v>234</v>
      </c>
      <c r="H94" s="4">
        <f t="shared" si="5"/>
        <v>420</v>
      </c>
      <c r="I94" s="4">
        <v>55</v>
      </c>
      <c r="J94" s="4">
        <v>68</v>
      </c>
      <c r="K94" s="4">
        <v>123</v>
      </c>
      <c r="L94" s="4">
        <v>340</v>
      </c>
      <c r="M94" s="4">
        <v>435</v>
      </c>
      <c r="N94" s="4">
        <f t="shared" si="6"/>
        <v>775</v>
      </c>
      <c r="O94" s="4">
        <v>91</v>
      </c>
      <c r="P94" s="4">
        <v>163</v>
      </c>
      <c r="Q94" s="4">
        <v>254</v>
      </c>
      <c r="R94" s="6">
        <f t="shared" si="7"/>
        <v>0.11828859060402684</v>
      </c>
      <c r="S94" s="6">
        <f t="shared" si="8"/>
        <v>0.29285714285714287</v>
      </c>
      <c r="T94" s="6">
        <f t="shared" si="9"/>
        <v>0.32774193548387098</v>
      </c>
    </row>
    <row r="95" spans="1:20" x14ac:dyDescent="0.25">
      <c r="A95" s="3" t="s">
        <v>90</v>
      </c>
      <c r="B95" s="4">
        <v>345</v>
      </c>
      <c r="C95" s="4">
        <v>56</v>
      </c>
      <c r="D95" s="4">
        <v>380</v>
      </c>
      <c r="E95" s="4">
        <v>781</v>
      </c>
      <c r="F95" s="4">
        <v>52</v>
      </c>
      <c r="G95" s="4">
        <v>55</v>
      </c>
      <c r="H95" s="4">
        <f t="shared" si="5"/>
        <v>107</v>
      </c>
      <c r="I95" s="4">
        <v>14</v>
      </c>
      <c r="J95" s="4">
        <v>14</v>
      </c>
      <c r="K95" s="4">
        <v>28</v>
      </c>
      <c r="L95" s="4">
        <v>104</v>
      </c>
      <c r="M95" s="4">
        <v>103</v>
      </c>
      <c r="N95" s="4">
        <f t="shared" si="6"/>
        <v>207</v>
      </c>
      <c r="O95" s="4">
        <v>30</v>
      </c>
      <c r="P95" s="4">
        <v>39</v>
      </c>
      <c r="Q95" s="4">
        <v>69</v>
      </c>
      <c r="R95" s="6">
        <f t="shared" si="7"/>
        <v>0.1396508728179551</v>
      </c>
      <c r="S95" s="6">
        <f t="shared" si="8"/>
        <v>0.26168224299065418</v>
      </c>
      <c r="T95" s="6">
        <f t="shared" si="9"/>
        <v>0.33333333333333331</v>
      </c>
    </row>
    <row r="96" spans="1:20" x14ac:dyDescent="0.25">
      <c r="A96" s="3" t="s">
        <v>91</v>
      </c>
      <c r="B96" s="4">
        <v>764</v>
      </c>
      <c r="C96" s="4">
        <v>53</v>
      </c>
      <c r="D96" s="4">
        <v>790</v>
      </c>
      <c r="E96" s="4">
        <v>1607</v>
      </c>
      <c r="F96" s="4">
        <v>137</v>
      </c>
      <c r="G96" s="4">
        <v>138</v>
      </c>
      <c r="H96" s="4">
        <f t="shared" si="5"/>
        <v>275</v>
      </c>
      <c r="I96" s="4">
        <v>34</v>
      </c>
      <c r="J96" s="4">
        <v>31</v>
      </c>
      <c r="K96" s="4">
        <v>65</v>
      </c>
      <c r="L96" s="4">
        <v>241</v>
      </c>
      <c r="M96" s="4">
        <v>269</v>
      </c>
      <c r="N96" s="4">
        <f t="shared" si="6"/>
        <v>510</v>
      </c>
      <c r="O96" s="4">
        <v>70</v>
      </c>
      <c r="P96" s="4">
        <v>104</v>
      </c>
      <c r="Q96" s="4">
        <v>174</v>
      </c>
      <c r="R96" s="6">
        <f t="shared" si="7"/>
        <v>6.4871481028151781E-2</v>
      </c>
      <c r="S96" s="6">
        <f t="shared" si="8"/>
        <v>0.23636363636363636</v>
      </c>
      <c r="T96" s="6">
        <f t="shared" si="9"/>
        <v>0.3411764705882353</v>
      </c>
    </row>
    <row r="97" spans="1:20" x14ac:dyDescent="0.25">
      <c r="A97" s="3" t="s">
        <v>64</v>
      </c>
      <c r="B97" s="4">
        <v>602</v>
      </c>
      <c r="C97" s="4">
        <v>60</v>
      </c>
      <c r="D97" s="4">
        <v>625</v>
      </c>
      <c r="E97" s="4">
        <v>1287</v>
      </c>
      <c r="F97" s="4">
        <v>101</v>
      </c>
      <c r="G97" s="4">
        <v>85</v>
      </c>
      <c r="H97" s="4">
        <f t="shared" si="5"/>
        <v>186</v>
      </c>
      <c r="I97" s="4">
        <v>30</v>
      </c>
      <c r="J97" s="4">
        <v>30</v>
      </c>
      <c r="K97" s="4">
        <v>60</v>
      </c>
      <c r="L97" s="4">
        <v>169</v>
      </c>
      <c r="M97" s="4">
        <v>205</v>
      </c>
      <c r="N97" s="4">
        <f t="shared" si="6"/>
        <v>374</v>
      </c>
      <c r="O97" s="4">
        <v>59</v>
      </c>
      <c r="P97" s="4">
        <v>100</v>
      </c>
      <c r="Q97" s="4">
        <v>159</v>
      </c>
      <c r="R97" s="6">
        <f t="shared" si="7"/>
        <v>9.0634441087613288E-2</v>
      </c>
      <c r="S97" s="6">
        <f t="shared" si="8"/>
        <v>0.32258064516129031</v>
      </c>
      <c r="T97" s="6">
        <f t="shared" si="9"/>
        <v>0.42513368983957217</v>
      </c>
    </row>
  </sheetData>
  <mergeCells count="8">
    <mergeCell ref="A3:A4"/>
    <mergeCell ref="F3:H3"/>
    <mergeCell ref="L3:N3"/>
    <mergeCell ref="S3:T3"/>
    <mergeCell ref="R3:R4"/>
    <mergeCell ref="I3:K3"/>
    <mergeCell ref="B3:E3"/>
    <mergeCell ref="O3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Nizam</cp:lastModifiedBy>
  <dcterms:created xsi:type="dcterms:W3CDTF">2025-08-24T12:49:18Z</dcterms:created>
  <dcterms:modified xsi:type="dcterms:W3CDTF">2025-08-27T06:36:48Z</dcterms:modified>
</cp:coreProperties>
</file>