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E274BB6-E63B-4A83-B333-A7E42ED4A74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pul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Q88" i="1" l="1"/>
  <c r="R88" i="1"/>
  <c r="S88" i="1"/>
  <c r="T88" i="1"/>
  <c r="Q70" i="1"/>
  <c r="R70" i="1"/>
  <c r="T70" i="1"/>
  <c r="S70" i="1"/>
  <c r="Q52" i="1"/>
  <c r="R52" i="1"/>
  <c r="T52" i="1"/>
  <c r="S52" i="1"/>
  <c r="Q34" i="1"/>
  <c r="R34" i="1"/>
  <c r="T34" i="1"/>
  <c r="S34" i="1"/>
  <c r="Q16" i="1"/>
  <c r="R16" i="1"/>
  <c r="S16" i="1"/>
  <c r="T16" i="1"/>
  <c r="T51" i="1"/>
  <c r="R51" i="1"/>
  <c r="Q51" i="1"/>
  <c r="S51" i="1"/>
  <c r="S81" i="1"/>
  <c r="T81" i="1"/>
  <c r="Q81" i="1"/>
  <c r="R81" i="1"/>
  <c r="Q44" i="1"/>
  <c r="R44" i="1"/>
  <c r="S44" i="1"/>
  <c r="T44" i="1"/>
  <c r="Q79" i="1"/>
  <c r="R79" i="1"/>
  <c r="T79" i="1"/>
  <c r="S79" i="1"/>
  <c r="Q77" i="1"/>
  <c r="T77" i="1"/>
  <c r="R77" i="1"/>
  <c r="S77" i="1"/>
  <c r="S40" i="1"/>
  <c r="Q40" i="1"/>
  <c r="R40" i="1"/>
  <c r="T40" i="1"/>
  <c r="R65" i="1"/>
  <c r="S65" i="1"/>
  <c r="T65" i="1"/>
  <c r="Q65" i="1"/>
  <c r="T64" i="1"/>
  <c r="R64" i="1"/>
  <c r="S64" i="1"/>
  <c r="Q64" i="1"/>
  <c r="S46" i="1"/>
  <c r="T46" i="1"/>
  <c r="Q46" i="1"/>
  <c r="R46" i="1"/>
  <c r="S28" i="1"/>
  <c r="R28" i="1"/>
  <c r="Q28" i="1"/>
  <c r="T28" i="1"/>
  <c r="T10" i="1"/>
  <c r="R10" i="1"/>
  <c r="S10" i="1"/>
  <c r="Q10" i="1"/>
  <c r="T27" i="1"/>
  <c r="Q27" i="1"/>
  <c r="S27" i="1"/>
  <c r="R27" i="1"/>
  <c r="T50" i="1"/>
  <c r="Q50" i="1"/>
  <c r="R50" i="1"/>
  <c r="S50" i="1"/>
  <c r="R29" i="1"/>
  <c r="S29" i="1"/>
  <c r="T29" i="1"/>
  <c r="Q29" i="1"/>
  <c r="S63" i="1"/>
  <c r="Q63" i="1"/>
  <c r="R63" i="1"/>
  <c r="T63" i="1"/>
  <c r="T87" i="1"/>
  <c r="Q87" i="1"/>
  <c r="R87" i="1"/>
  <c r="S87" i="1"/>
  <c r="T33" i="1"/>
  <c r="Q33" i="1"/>
  <c r="R33" i="1"/>
  <c r="S33" i="1"/>
  <c r="R14" i="1"/>
  <c r="Q14" i="1"/>
  <c r="T14" i="1"/>
  <c r="S14" i="1"/>
  <c r="Q49" i="1"/>
  <c r="R49" i="1"/>
  <c r="S49" i="1"/>
  <c r="T49" i="1"/>
  <c r="R83" i="1"/>
  <c r="S83" i="1"/>
  <c r="T83" i="1"/>
  <c r="Q83" i="1"/>
  <c r="R47" i="1"/>
  <c r="S47" i="1"/>
  <c r="T47" i="1"/>
  <c r="Q47" i="1"/>
  <c r="S45" i="1"/>
  <c r="Q45" i="1"/>
  <c r="R45" i="1"/>
  <c r="T45" i="1"/>
  <c r="Q80" i="1"/>
  <c r="R80" i="1"/>
  <c r="S80" i="1"/>
  <c r="T80" i="1"/>
  <c r="Q62" i="1"/>
  <c r="R62" i="1"/>
  <c r="S62" i="1"/>
  <c r="T62" i="1"/>
  <c r="Q26" i="1"/>
  <c r="R26" i="1"/>
  <c r="S26" i="1"/>
  <c r="T26" i="1"/>
  <c r="Q8" i="1"/>
  <c r="R8" i="1"/>
  <c r="S8" i="1"/>
  <c r="T8" i="1"/>
  <c r="Q97" i="1"/>
  <c r="R97" i="1"/>
  <c r="T97" i="1"/>
  <c r="S97" i="1"/>
  <c r="Q61" i="1"/>
  <c r="R61" i="1"/>
  <c r="T61" i="1"/>
  <c r="S61" i="1"/>
  <c r="Q43" i="1"/>
  <c r="R43" i="1"/>
  <c r="T43" i="1"/>
  <c r="S43" i="1"/>
  <c r="Q25" i="1"/>
  <c r="R25" i="1"/>
  <c r="T25" i="1"/>
  <c r="S25" i="1"/>
  <c r="Q7" i="1"/>
  <c r="R7" i="1"/>
  <c r="T7" i="1"/>
  <c r="S7" i="1"/>
  <c r="T96" i="1"/>
  <c r="Q96" i="1"/>
  <c r="R96" i="1"/>
  <c r="S96" i="1"/>
  <c r="T78" i="1"/>
  <c r="Q78" i="1"/>
  <c r="R78" i="1"/>
  <c r="S78" i="1"/>
  <c r="T60" i="1"/>
  <c r="Q60" i="1"/>
  <c r="R60" i="1"/>
  <c r="S60" i="1"/>
  <c r="T42" i="1"/>
  <c r="Q42" i="1"/>
  <c r="R42" i="1"/>
  <c r="S42" i="1"/>
  <c r="T24" i="1"/>
  <c r="Q24" i="1"/>
  <c r="R24" i="1"/>
  <c r="S24" i="1"/>
  <c r="T6" i="1"/>
  <c r="R6" i="1"/>
  <c r="Q6" i="1"/>
  <c r="S6" i="1"/>
  <c r="Q95" i="1"/>
  <c r="T95" i="1"/>
  <c r="R95" i="1"/>
  <c r="S95" i="1"/>
  <c r="Q59" i="1"/>
  <c r="T59" i="1"/>
  <c r="R59" i="1"/>
  <c r="S59" i="1"/>
  <c r="Q41" i="1"/>
  <c r="T41" i="1"/>
  <c r="R41" i="1"/>
  <c r="S41" i="1"/>
  <c r="Q23" i="1"/>
  <c r="R23" i="1"/>
  <c r="T23" i="1"/>
  <c r="S23" i="1"/>
  <c r="R5" i="1"/>
  <c r="S5" i="1"/>
  <c r="T5" i="1"/>
  <c r="Q5" i="1"/>
  <c r="S94" i="1"/>
  <c r="T94" i="1"/>
  <c r="Q94" i="1"/>
  <c r="R94" i="1"/>
  <c r="T76" i="1"/>
  <c r="S76" i="1"/>
  <c r="Q76" i="1"/>
  <c r="R76" i="1"/>
  <c r="T22" i="1"/>
  <c r="S22" i="1"/>
  <c r="Q22" i="1"/>
  <c r="R22" i="1"/>
  <c r="R93" i="1"/>
  <c r="Q93" i="1"/>
  <c r="S93" i="1"/>
  <c r="T93" i="1"/>
  <c r="R75" i="1"/>
  <c r="Q75" i="1"/>
  <c r="S75" i="1"/>
  <c r="T75" i="1"/>
  <c r="R57" i="1"/>
  <c r="Q57" i="1"/>
  <c r="S57" i="1"/>
  <c r="T57" i="1"/>
  <c r="R39" i="1"/>
  <c r="Q39" i="1"/>
  <c r="S39" i="1"/>
  <c r="T39" i="1"/>
  <c r="R21" i="1"/>
  <c r="Q21" i="1"/>
  <c r="S21" i="1"/>
  <c r="T21" i="1"/>
  <c r="R74" i="1"/>
  <c r="S74" i="1"/>
  <c r="T74" i="1"/>
  <c r="Q74" i="1"/>
  <c r="R56" i="1"/>
  <c r="S56" i="1"/>
  <c r="T56" i="1"/>
  <c r="Q56" i="1"/>
  <c r="R38" i="1"/>
  <c r="Q38" i="1"/>
  <c r="S38" i="1"/>
  <c r="T38" i="1"/>
  <c r="R91" i="1"/>
  <c r="T91" i="1"/>
  <c r="S91" i="1"/>
  <c r="Q91" i="1"/>
  <c r="S73" i="1"/>
  <c r="R73" i="1"/>
  <c r="T73" i="1"/>
  <c r="Q73" i="1"/>
  <c r="S55" i="1"/>
  <c r="T55" i="1"/>
  <c r="R55" i="1"/>
  <c r="Q55" i="1"/>
  <c r="S37" i="1"/>
  <c r="T37" i="1"/>
  <c r="R37" i="1"/>
  <c r="Q37" i="1"/>
  <c r="R19" i="1"/>
  <c r="T19" i="1"/>
  <c r="Q19" i="1"/>
  <c r="S19" i="1"/>
  <c r="T69" i="1"/>
  <c r="R69" i="1"/>
  <c r="Q69" i="1"/>
  <c r="S69" i="1"/>
  <c r="T15" i="1"/>
  <c r="Q15" i="1"/>
  <c r="R15" i="1"/>
  <c r="S15" i="1"/>
  <c r="Q86" i="1"/>
  <c r="R86" i="1"/>
  <c r="S86" i="1"/>
  <c r="T86" i="1"/>
  <c r="T68" i="1"/>
  <c r="Q68" i="1"/>
  <c r="R68" i="1"/>
  <c r="S68" i="1"/>
  <c r="Q32" i="1"/>
  <c r="T32" i="1"/>
  <c r="R32" i="1"/>
  <c r="S32" i="1"/>
  <c r="S67" i="1"/>
  <c r="T67" i="1"/>
  <c r="Q67" i="1"/>
  <c r="R67" i="1"/>
  <c r="R11" i="1"/>
  <c r="S11" i="1"/>
  <c r="T11" i="1"/>
  <c r="Q11" i="1"/>
  <c r="R82" i="1"/>
  <c r="S82" i="1"/>
  <c r="T82" i="1"/>
  <c r="Q82" i="1"/>
  <c r="R20" i="1"/>
  <c r="S20" i="1"/>
  <c r="T20" i="1"/>
  <c r="Q20" i="1"/>
  <c r="R90" i="1"/>
  <c r="T90" i="1"/>
  <c r="S90" i="1"/>
  <c r="Q90" i="1"/>
  <c r="S72" i="1"/>
  <c r="T72" i="1"/>
  <c r="Q72" i="1"/>
  <c r="R72" i="1"/>
  <c r="R54" i="1"/>
  <c r="S54" i="1"/>
  <c r="Q54" i="1"/>
  <c r="T54" i="1"/>
  <c r="S36" i="1"/>
  <c r="Q36" i="1"/>
  <c r="R36" i="1"/>
  <c r="T36" i="1"/>
  <c r="R18" i="1"/>
  <c r="Q18" i="1"/>
  <c r="S18" i="1"/>
  <c r="T18" i="1"/>
  <c r="S85" i="1"/>
  <c r="Q85" i="1"/>
  <c r="R85" i="1"/>
  <c r="T85" i="1"/>
  <c r="S31" i="1"/>
  <c r="Q31" i="1"/>
  <c r="R31" i="1"/>
  <c r="T31" i="1"/>
  <c r="T13" i="1"/>
  <c r="Q13" i="1"/>
  <c r="R13" i="1"/>
  <c r="S13" i="1"/>
  <c r="R84" i="1"/>
  <c r="Q84" i="1"/>
  <c r="S84" i="1"/>
  <c r="T84" i="1"/>
  <c r="R66" i="1"/>
  <c r="Q66" i="1"/>
  <c r="S66" i="1"/>
  <c r="T66" i="1"/>
  <c r="R48" i="1"/>
  <c r="Q48" i="1"/>
  <c r="S48" i="1"/>
  <c r="T48" i="1"/>
  <c r="R30" i="1"/>
  <c r="Q30" i="1"/>
  <c r="S30" i="1"/>
  <c r="T30" i="1"/>
  <c r="Q12" i="1"/>
  <c r="R12" i="1"/>
  <c r="S12" i="1"/>
  <c r="T12" i="1"/>
  <c r="S9" i="1"/>
  <c r="Q9" i="1"/>
  <c r="R9" i="1"/>
  <c r="T9" i="1"/>
  <c r="Q58" i="1"/>
  <c r="S58" i="1"/>
  <c r="R58" i="1"/>
  <c r="T58" i="1"/>
  <c r="R92" i="1"/>
  <c r="Q92" i="1"/>
  <c r="S92" i="1"/>
  <c r="T92" i="1"/>
  <c r="Q89" i="1"/>
  <c r="R89" i="1"/>
  <c r="S89" i="1"/>
  <c r="T89" i="1"/>
  <c r="Q71" i="1"/>
  <c r="R71" i="1"/>
  <c r="S71" i="1"/>
  <c r="T71" i="1"/>
  <c r="Q53" i="1"/>
  <c r="R53" i="1"/>
  <c r="S53" i="1"/>
  <c r="T53" i="1"/>
  <c r="Q35" i="1"/>
  <c r="R35" i="1"/>
  <c r="S35" i="1"/>
  <c r="T35" i="1"/>
  <c r="Q17" i="1"/>
  <c r="R17" i="1"/>
  <c r="S17" i="1"/>
  <c r="T17" i="1"/>
  <c r="B66" i="1"/>
  <c r="K66" i="1" s="1"/>
  <c r="B97" i="1"/>
  <c r="K97" i="1" s="1"/>
  <c r="B89" i="1"/>
  <c r="K89" i="1" s="1"/>
  <c r="B81" i="1"/>
  <c r="K81" i="1" s="1"/>
  <c r="B73" i="1"/>
  <c r="K73" i="1" s="1"/>
  <c r="B34" i="1"/>
  <c r="K34" i="1" s="1"/>
  <c r="B95" i="1"/>
  <c r="B87" i="1"/>
  <c r="B79" i="1"/>
  <c r="B71" i="1"/>
  <c r="K71" i="1" s="1"/>
  <c r="B63" i="1"/>
  <c r="K63" i="1" s="1"/>
  <c r="B55" i="1"/>
  <c r="K55" i="1" s="1"/>
  <c r="B47" i="1"/>
  <c r="K47" i="1" s="1"/>
  <c r="B39" i="1"/>
  <c r="K39" i="1" s="1"/>
  <c r="B31" i="1"/>
  <c r="K31" i="1" s="1"/>
  <c r="B23" i="1"/>
  <c r="K23" i="1" s="1"/>
  <c r="B15" i="1"/>
  <c r="K15" i="1" s="1"/>
  <c r="B7" i="1"/>
  <c r="K7" i="1" s="1"/>
  <c r="B94" i="1"/>
  <c r="K94" i="1" s="1"/>
  <c r="B86" i="1"/>
  <c r="K86" i="1" s="1"/>
  <c r="B78" i="1"/>
  <c r="K78" i="1" s="1"/>
  <c r="B70" i="1"/>
  <c r="K70" i="1" s="1"/>
  <c r="B62" i="1"/>
  <c r="K62" i="1" s="1"/>
  <c r="B54" i="1"/>
  <c r="K54" i="1" s="1"/>
  <c r="B46" i="1"/>
  <c r="K46" i="1" s="1"/>
  <c r="B38" i="1"/>
  <c r="K38" i="1" s="1"/>
  <c r="B30" i="1"/>
  <c r="K30" i="1" s="1"/>
  <c r="B22" i="1"/>
  <c r="K22" i="1" s="1"/>
  <c r="B14" i="1"/>
  <c r="K14" i="1" s="1"/>
  <c r="B6" i="1"/>
  <c r="K6" i="1" s="1"/>
  <c r="B93" i="1"/>
  <c r="K93" i="1" s="1"/>
  <c r="B77" i="1"/>
  <c r="K77" i="1" s="1"/>
  <c r="B61" i="1"/>
  <c r="K61" i="1" s="1"/>
  <c r="B45" i="1"/>
  <c r="K45" i="1" s="1"/>
  <c r="B29" i="1"/>
  <c r="K29" i="1" s="1"/>
  <c r="B13" i="1"/>
  <c r="K13" i="1" s="1"/>
  <c r="B59" i="1"/>
  <c r="K59" i="1" s="1"/>
  <c r="B85" i="1"/>
  <c r="K85" i="1" s="1"/>
  <c r="B69" i="1"/>
  <c r="K69" i="1" s="1"/>
  <c r="B53" i="1"/>
  <c r="K53" i="1" s="1"/>
  <c r="B37" i="1"/>
  <c r="K37" i="1" s="1"/>
  <c r="B21" i="1"/>
  <c r="K21" i="1" s="1"/>
  <c r="B5" i="1"/>
  <c r="B83" i="1"/>
  <c r="K83" i="1" s="1"/>
  <c r="B75" i="1"/>
  <c r="K75" i="1" s="1"/>
  <c r="B51" i="1"/>
  <c r="K51" i="1" s="1"/>
  <c r="B35" i="1"/>
  <c r="K35" i="1" s="1"/>
  <c r="B27" i="1"/>
  <c r="K27" i="1" s="1"/>
  <c r="B11" i="1"/>
  <c r="K11" i="1" s="1"/>
  <c r="B90" i="1"/>
  <c r="K90" i="1" s="1"/>
  <c r="B82" i="1"/>
  <c r="K82" i="1" s="1"/>
  <c r="B74" i="1"/>
  <c r="K74" i="1" s="1"/>
  <c r="B58" i="1"/>
  <c r="K58" i="1" s="1"/>
  <c r="B50" i="1"/>
  <c r="K50" i="1" s="1"/>
  <c r="B42" i="1"/>
  <c r="K42" i="1" s="1"/>
  <c r="B26" i="1"/>
  <c r="K26" i="1" s="1"/>
  <c r="B18" i="1"/>
  <c r="K18" i="1" s="1"/>
  <c r="B10" i="1"/>
  <c r="K10" i="1" s="1"/>
  <c r="B91" i="1"/>
  <c r="K91" i="1" s="1"/>
  <c r="B67" i="1"/>
  <c r="K67" i="1" s="1"/>
  <c r="B43" i="1"/>
  <c r="K43" i="1" s="1"/>
  <c r="B19" i="1"/>
  <c r="K19" i="1" s="1"/>
  <c r="K95" i="1"/>
  <c r="K87" i="1"/>
  <c r="K79" i="1"/>
  <c r="B92" i="1"/>
  <c r="K92" i="1" s="1"/>
  <c r="B84" i="1"/>
  <c r="K84" i="1" s="1"/>
  <c r="B76" i="1"/>
  <c r="K76" i="1" s="1"/>
  <c r="B68" i="1"/>
  <c r="K68" i="1" s="1"/>
  <c r="B60" i="1"/>
  <c r="K60" i="1" s="1"/>
  <c r="B52" i="1"/>
  <c r="K52" i="1" s="1"/>
  <c r="B44" i="1"/>
  <c r="K44" i="1" s="1"/>
  <c r="B36" i="1"/>
  <c r="K36" i="1" s="1"/>
  <c r="B28" i="1"/>
  <c r="K28" i="1" s="1"/>
  <c r="B20" i="1"/>
  <c r="K20" i="1" s="1"/>
  <c r="B12" i="1"/>
  <c r="K12" i="1" s="1"/>
  <c r="B65" i="1"/>
  <c r="K65" i="1" s="1"/>
  <c r="B57" i="1"/>
  <c r="K57" i="1" s="1"/>
  <c r="B49" i="1"/>
  <c r="K49" i="1" s="1"/>
  <c r="B41" i="1"/>
  <c r="K41" i="1" s="1"/>
  <c r="B33" i="1"/>
  <c r="K33" i="1" s="1"/>
  <c r="B25" i="1"/>
  <c r="K25" i="1" s="1"/>
  <c r="B17" i="1"/>
  <c r="K17" i="1" s="1"/>
  <c r="B9" i="1"/>
  <c r="K9" i="1" s="1"/>
  <c r="B96" i="1"/>
  <c r="K96" i="1" s="1"/>
  <c r="B88" i="1"/>
  <c r="K88" i="1" s="1"/>
  <c r="B80" i="1"/>
  <c r="K80" i="1" s="1"/>
  <c r="B72" i="1"/>
  <c r="K72" i="1" s="1"/>
  <c r="B64" i="1"/>
  <c r="K64" i="1" s="1"/>
  <c r="B56" i="1"/>
  <c r="K56" i="1" s="1"/>
  <c r="B48" i="1"/>
  <c r="K48" i="1" s="1"/>
  <c r="B40" i="1"/>
  <c r="K40" i="1" s="1"/>
  <c r="B32" i="1"/>
  <c r="K32" i="1" s="1"/>
  <c r="B24" i="1"/>
  <c r="K24" i="1" s="1"/>
  <c r="B16" i="1"/>
  <c r="K16" i="1" s="1"/>
  <c r="B8" i="1"/>
  <c r="K8" i="1" s="1"/>
  <c r="K5" i="1" l="1"/>
</calcChain>
</file>

<file path=xl/sharedStrings.xml><?xml version="1.0" encoding="utf-8"?>
<sst xmlns="http://schemas.openxmlformats.org/spreadsheetml/2006/main" count="119" uniqueCount="108">
  <si>
    <t>Galolhu Dhekunu Dhaairaa</t>
  </si>
  <si>
    <t>Galolhu Uthuru Dhaairaa</t>
  </si>
  <si>
    <t>Henveyru Dhekunu Dhaairaa</t>
  </si>
  <si>
    <t>Henveyru Hulhangu Dhaairaa</t>
  </si>
  <si>
    <t>Henveyru Uthuru Dhaairaa</t>
  </si>
  <si>
    <t>Hulhumaale Dhekunu Dhaairaa</t>
  </si>
  <si>
    <t>Hulhumaale Medhu Dhaairaa</t>
  </si>
  <si>
    <t>Hulhumaale Uthuru Dhaairaa</t>
  </si>
  <si>
    <t>Maafannu Dhekunu Dhaairaa</t>
  </si>
  <si>
    <t>Maafannu Hulhangu Dhaairaa</t>
  </si>
  <si>
    <t>Maafannu Medhu Dhaairaa</t>
  </si>
  <si>
    <t>Maafannu Uthuru Dhaairaa</t>
  </si>
  <si>
    <t>Mahchangolhi Dhekunu Dhaairaa</t>
  </si>
  <si>
    <t>Mahchangolhi Medhu Dhaairaa</t>
  </si>
  <si>
    <t>Mahchangolhi Uthuru Dhaairaa</t>
  </si>
  <si>
    <t>Medhu Henveyru Dhaairaa</t>
  </si>
  <si>
    <t>Vilimaale Dhaairaa</t>
  </si>
  <si>
    <t>Baarashu Dhaairaa</t>
  </si>
  <si>
    <t>Dhihdhoo Dhaairaa</t>
  </si>
  <si>
    <t>Hoarafushi Dhaairaa</t>
  </si>
  <si>
    <t>Ihavandhoo Dhaairaa</t>
  </si>
  <si>
    <t>Kelaa Dhaairaa</t>
  </si>
  <si>
    <t>Hanimaadhoo Dhaairaa</t>
  </si>
  <si>
    <t>Kulhudhuffushi Dhekunu Dhaaira</t>
  </si>
  <si>
    <t>Kulhudhuffushi Uthuru Dhaairaa</t>
  </si>
  <si>
    <t>Makunudhoo Dhaairaa</t>
  </si>
  <si>
    <t>Nolhivaramu Dhaairaa</t>
  </si>
  <si>
    <t>Vaikaradhoo Dhaairaa</t>
  </si>
  <si>
    <t>Funadhoo Dhaairaa</t>
  </si>
  <si>
    <t>Kan'ditheemu Dhaairaa</t>
  </si>
  <si>
    <t>Komandoo Dhaairaa</t>
  </si>
  <si>
    <t>Milandhoo Dhaairaa</t>
  </si>
  <si>
    <t>Holhudhoo Dhaairaa</t>
  </si>
  <si>
    <t>Ken'dhikulhudhoo Dhaairaa</t>
  </si>
  <si>
    <t>Manadhoo Dhaairaa</t>
  </si>
  <si>
    <t>Velidhoo Dhaairaa</t>
  </si>
  <si>
    <t>Alifushi Dhaairaa</t>
  </si>
  <si>
    <t>Dhuvaafaru Dhaairaa</t>
  </si>
  <si>
    <t>In'guraidhoo Dhaairaa</t>
  </si>
  <si>
    <t>Maduvvari Dhaairaa</t>
  </si>
  <si>
    <t>Un'goofaaru Dhaairaa</t>
  </si>
  <si>
    <t>Eydhafushi Dhaairaa</t>
  </si>
  <si>
    <t>Hithaadhoo Dhaairaa</t>
  </si>
  <si>
    <t>Kendhoo Dhaairaa</t>
  </si>
  <si>
    <t>Thulhaadhoo Dhaairaa</t>
  </si>
  <si>
    <t>Hinnavaru Dhaairaa</t>
  </si>
  <si>
    <t>Kurendhoo Dhaairaa</t>
  </si>
  <si>
    <t>Naifaru Dhaairaa</t>
  </si>
  <si>
    <t>Huraa Dhaairaa</t>
  </si>
  <si>
    <t>Kaashidhoo Dhaairaa</t>
  </si>
  <si>
    <t>Maafushi Dhaairaa</t>
  </si>
  <si>
    <t>Thulusdhoo Dhaairaa</t>
  </si>
  <si>
    <t>Mathiveri Dhaairaa</t>
  </si>
  <si>
    <t>Thoddoo Dhaairaa</t>
  </si>
  <si>
    <t>Dhan'gethi Dhaairaa</t>
  </si>
  <si>
    <t>Maamin'gili Dhaairaa</t>
  </si>
  <si>
    <t>Mahibadhoo Dhaairaa</t>
  </si>
  <si>
    <t>Felidhoo Dhaairaa</t>
  </si>
  <si>
    <t>Keyodhoo Dhaairaa</t>
  </si>
  <si>
    <t>Dhiggaru Dhaairaa</t>
  </si>
  <si>
    <t>Mulah Dhaairaa</t>
  </si>
  <si>
    <t>Bileydhoo Dhaairaa</t>
  </si>
  <si>
    <t>Nilandhoo Dhaairaa</t>
  </si>
  <si>
    <t>Kudahuvadhoo Dhaairaa</t>
  </si>
  <si>
    <t>Meedhoo Dhaairaa</t>
  </si>
  <si>
    <t>Guraidhoo Dhaairaa</t>
  </si>
  <si>
    <t>Kin'bidhoo Dhaairaa</t>
  </si>
  <si>
    <t>Thimarafushi Dhaairaa</t>
  </si>
  <si>
    <t>Vilufushi Dhaairaa</t>
  </si>
  <si>
    <t>Fonadhoo Dhaairaa</t>
  </si>
  <si>
    <t>Gan Dhaairaa</t>
  </si>
  <si>
    <t>Isdhoo Dhaairaa</t>
  </si>
  <si>
    <t>Maavah Dhaairaa</t>
  </si>
  <si>
    <t>Dhaandhoo Dhaairaa</t>
  </si>
  <si>
    <t>Gemanafushi Dhaairaa</t>
  </si>
  <si>
    <t>Kolamaafushi Dhaairaa</t>
  </si>
  <si>
    <t>Vilin'gili Dhaairaa</t>
  </si>
  <si>
    <t>Faresmaathodaa Dhaairaa</t>
  </si>
  <si>
    <t>Gahdhoo Dhaairaa</t>
  </si>
  <si>
    <t>Madaveli Dhaairaa</t>
  </si>
  <si>
    <t>Thinadhoo Dhekunu Dhaairaa</t>
  </si>
  <si>
    <t>Thinadhoo Uthuru Dhaairaa</t>
  </si>
  <si>
    <t>Fuvahmulah Dhekunu Dhaairaa</t>
  </si>
  <si>
    <t>Fuvahmulah Medhu Dhaairaa</t>
  </si>
  <si>
    <t>Fuvahmulah Uthuru Dhaairaa</t>
  </si>
  <si>
    <t>Feydhoo Dhekunu Dhaairaa</t>
  </si>
  <si>
    <t>Feydhoo Uthuru Dhaairaa</t>
  </si>
  <si>
    <t>Hithadhoo Dhekunu Dhaairaa</t>
  </si>
  <si>
    <t>Hithadhoo Medhu Dhaairaa</t>
  </si>
  <si>
    <t>Hithadhoo Uthuru Dhaairaa</t>
  </si>
  <si>
    <t>Hulhudhoo Dhaairaa</t>
  </si>
  <si>
    <t>Maradhoo Dhaairaa</t>
  </si>
  <si>
    <t>Female</t>
  </si>
  <si>
    <t>Male</t>
  </si>
  <si>
    <t>Resident Maldivian Population</t>
  </si>
  <si>
    <t>Resident Foreign Population</t>
  </si>
  <si>
    <t>Resident  Population</t>
  </si>
  <si>
    <t>Resident Foreigners (%) (out of resident Population</t>
  </si>
  <si>
    <t>Total</t>
  </si>
  <si>
    <t>Sex Ratio</t>
  </si>
  <si>
    <t>Elderly Population (65+)</t>
  </si>
  <si>
    <t xml:space="preserve">Child Population (0-17) </t>
  </si>
  <si>
    <t>Working Age Population (36-64)</t>
  </si>
  <si>
    <t>Local Youth Population ( 18-35 )</t>
  </si>
  <si>
    <t>Population counted in the constituency, Census 2022</t>
  </si>
  <si>
    <t xml:space="preserve">Maldivian Population by broad age </t>
  </si>
  <si>
    <t>Maldivian Population by broad age (%)</t>
  </si>
  <si>
    <t>Constituency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</si>
</sst>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name val="Calibri"/>
    </font>
    <font>
      <b/>
      <sz val="11"/>
      <name val="Calibri"/>
      <family val="2"/>
    </font>
    <font>
      <sz val="10"/>
      <color rgb="FF000000"/>
      <name val="Calibri"/>
      <family val="2"/>
      <scheme val="minor"/>
    </font>
    <font>
      <sz val="11"/>
      <name val="Calibri"/>
      <family val="2"/>
    </font>
    <font>
      <b/>
      <sz val="14"/>
      <color rgb="FFC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1" xfId="2" applyNumberFormat="1" applyFont="1" applyBorder="1"/>
    <xf numFmtId="0" fontId="4" fillId="0" borderId="0" xfId="0" applyFont="1"/>
    <xf numFmtId="9" fontId="0" fillId="0" borderId="1" xfId="3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wrapText="1"/>
    </xf>
  </cellXfs>
  <cellStyles count="4">
    <cellStyle name="Comma" xfId="2" builtinId="3"/>
    <cellStyle name="Normal" xfId="0" builtinId="0"/>
    <cellStyle name="Normal 3" xfId="1" xr:uid="{A7F9AA2A-97D3-4A17-B669-90F7BB15CA2B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97"/>
  <sheetViews>
    <sheetView tabSelected="1" zoomScale="73" zoomScaleNormal="75" workbookViewId="0"/>
  </sheetViews>
  <sheetFormatPr defaultRowHeight="15" x14ac:dyDescent="0.25"/>
  <cols>
    <col min="1" max="1" width="29" bestFit="1" customWidth="1"/>
    <col min="2" max="2" width="12.7109375" customWidth="1"/>
    <col min="3" max="8" width="13.85546875" customWidth="1"/>
    <col min="9" max="10" width="12.5703125" customWidth="1"/>
    <col min="11" max="11" width="15.85546875" customWidth="1"/>
    <col min="12" max="12" width="11.85546875" bestFit="1" customWidth="1"/>
    <col min="13" max="14" width="15.5703125" customWidth="1"/>
    <col min="15" max="15" width="14.85546875" customWidth="1"/>
    <col min="16" max="16" width="14.5703125" customWidth="1"/>
    <col min="17" max="17" width="15.42578125" customWidth="1"/>
    <col min="18" max="18" width="20" customWidth="1"/>
    <col min="19" max="19" width="21.140625" customWidth="1"/>
    <col min="20" max="20" width="19.5703125" customWidth="1"/>
  </cols>
  <sheetData>
    <row r="1" spans="1:20" ht="18.75" x14ac:dyDescent="0.3">
      <c r="A1" s="5" t="s">
        <v>104</v>
      </c>
    </row>
    <row r="2" spans="1:20" ht="24.6" customHeight="1" x14ac:dyDescent="0.25"/>
    <row r="3" spans="1:20" ht="30" customHeight="1" x14ac:dyDescent="0.25">
      <c r="A3" s="11" t="s">
        <v>107</v>
      </c>
      <c r="B3" s="12" t="s">
        <v>96</v>
      </c>
      <c r="C3" s="12"/>
      <c r="D3" s="12"/>
      <c r="E3" s="12" t="s">
        <v>94</v>
      </c>
      <c r="F3" s="12"/>
      <c r="G3" s="12"/>
      <c r="H3" s="12" t="s">
        <v>95</v>
      </c>
      <c r="I3" s="12"/>
      <c r="J3" s="12"/>
      <c r="K3" s="12" t="s">
        <v>97</v>
      </c>
      <c r="L3" s="10" t="s">
        <v>99</v>
      </c>
      <c r="M3" s="10" t="s">
        <v>105</v>
      </c>
      <c r="N3" s="10"/>
      <c r="O3" s="10"/>
      <c r="P3" s="10"/>
      <c r="Q3" s="10" t="s">
        <v>106</v>
      </c>
      <c r="R3" s="10"/>
      <c r="S3" s="10"/>
      <c r="T3" s="10"/>
    </row>
    <row r="4" spans="1:20" ht="48.95" customHeight="1" x14ac:dyDescent="0.25">
      <c r="A4" s="11"/>
      <c r="B4" s="8" t="s">
        <v>98</v>
      </c>
      <c r="C4" s="8" t="s">
        <v>93</v>
      </c>
      <c r="D4" s="8" t="s">
        <v>92</v>
      </c>
      <c r="E4" s="8" t="s">
        <v>98</v>
      </c>
      <c r="F4" s="8" t="s">
        <v>93</v>
      </c>
      <c r="G4" s="8" t="s">
        <v>92</v>
      </c>
      <c r="H4" s="8" t="s">
        <v>98</v>
      </c>
      <c r="I4" s="8" t="s">
        <v>93</v>
      </c>
      <c r="J4" s="8" t="s">
        <v>92</v>
      </c>
      <c r="K4" s="12"/>
      <c r="L4" s="10"/>
      <c r="M4" s="7" t="s">
        <v>101</v>
      </c>
      <c r="N4" s="7" t="s">
        <v>103</v>
      </c>
      <c r="O4" s="9" t="s">
        <v>102</v>
      </c>
      <c r="P4" s="7" t="s">
        <v>100</v>
      </c>
      <c r="Q4" s="7" t="s">
        <v>101</v>
      </c>
      <c r="R4" s="7" t="s">
        <v>103</v>
      </c>
      <c r="S4" s="7" t="s">
        <v>102</v>
      </c>
      <c r="T4" s="7" t="s">
        <v>100</v>
      </c>
    </row>
    <row r="5" spans="1:20" x14ac:dyDescent="0.25">
      <c r="A5" s="1" t="s">
        <v>0</v>
      </c>
      <c r="B5" s="4">
        <f t="shared" ref="B5:B68" si="0">C5+D5</f>
        <v>14645</v>
      </c>
      <c r="C5" s="4">
        <f t="shared" ref="C5:C68" si="1">F5+I5</f>
        <v>8440</v>
      </c>
      <c r="D5" s="4">
        <f t="shared" ref="D5:D68" si="2">G5+J5</f>
        <v>6205</v>
      </c>
      <c r="E5" s="4">
        <f t="shared" ref="E5:E68" si="3">F5+G5</f>
        <v>11406</v>
      </c>
      <c r="F5" s="4">
        <v>5629</v>
      </c>
      <c r="G5" s="4">
        <v>5777</v>
      </c>
      <c r="H5" s="4">
        <f t="shared" ref="H5:H68" si="4">I5+J5</f>
        <v>3239</v>
      </c>
      <c r="I5" s="4">
        <v>2811</v>
      </c>
      <c r="J5" s="4">
        <v>428</v>
      </c>
      <c r="K5" s="2">
        <f t="shared" ref="K5:K68" si="5">H5/B5*100</f>
        <v>22.116763400477979</v>
      </c>
      <c r="L5" s="3">
        <f t="shared" ref="L5:L68" si="6">F5/G5*100</f>
        <v>97.438116669551661</v>
      </c>
      <c r="M5" s="4">
        <v>3185</v>
      </c>
      <c r="N5" s="4">
        <v>3849</v>
      </c>
      <c r="O5" s="4">
        <v>3846</v>
      </c>
      <c r="P5" s="4">
        <v>526</v>
      </c>
      <c r="Q5" s="6">
        <f>M5/$E5</f>
        <v>0.27923899701911276</v>
      </c>
      <c r="R5" s="6">
        <f t="shared" ref="R5:T5" si="7">N5/$E5</f>
        <v>0.33745397159389795</v>
      </c>
      <c r="S5" s="6">
        <f t="shared" si="7"/>
        <v>0.33719095213045763</v>
      </c>
      <c r="T5" s="6">
        <f t="shared" si="7"/>
        <v>4.6116079256531647E-2</v>
      </c>
    </row>
    <row r="6" spans="1:20" x14ac:dyDescent="0.25">
      <c r="A6" s="1" t="s">
        <v>1</v>
      </c>
      <c r="B6" s="4">
        <f t="shared" si="0"/>
        <v>13928</v>
      </c>
      <c r="C6" s="4">
        <f t="shared" si="1"/>
        <v>8438</v>
      </c>
      <c r="D6" s="4">
        <f t="shared" si="2"/>
        <v>5490</v>
      </c>
      <c r="E6" s="4">
        <f t="shared" si="3"/>
        <v>9801</v>
      </c>
      <c r="F6" s="4">
        <v>4810</v>
      </c>
      <c r="G6" s="4">
        <v>4991</v>
      </c>
      <c r="H6" s="4">
        <f t="shared" si="4"/>
        <v>4127</v>
      </c>
      <c r="I6" s="4">
        <v>3628</v>
      </c>
      <c r="J6" s="4">
        <v>499</v>
      </c>
      <c r="K6" s="2">
        <f t="shared" si="5"/>
        <v>29.630959218839749</v>
      </c>
      <c r="L6" s="3">
        <f t="shared" si="6"/>
        <v>96.373472250050085</v>
      </c>
      <c r="M6" s="4">
        <v>2602</v>
      </c>
      <c r="N6" s="4">
        <v>3275</v>
      </c>
      <c r="O6" s="4">
        <v>3464</v>
      </c>
      <c r="P6" s="4">
        <v>460</v>
      </c>
      <c r="Q6" s="6">
        <f t="shared" ref="Q6:Q69" si="8">M6/$E6</f>
        <v>0.26548311396796243</v>
      </c>
      <c r="R6" s="6">
        <f t="shared" ref="R6:R69" si="9">N6/$E6</f>
        <v>0.334149576573819</v>
      </c>
      <c r="S6" s="6">
        <f t="shared" ref="S6:S69" si="10">O6/$E6</f>
        <v>0.35343332313029285</v>
      </c>
      <c r="T6" s="6">
        <f t="shared" ref="T6:T69" si="11">P6/$E6</f>
        <v>4.6933986327925725E-2</v>
      </c>
    </row>
    <row r="7" spans="1:20" x14ac:dyDescent="0.25">
      <c r="A7" s="1" t="s">
        <v>2</v>
      </c>
      <c r="B7" s="4">
        <f t="shared" si="0"/>
        <v>8539</v>
      </c>
      <c r="C7" s="4">
        <f t="shared" si="1"/>
        <v>4734</v>
      </c>
      <c r="D7" s="4">
        <f t="shared" si="2"/>
        <v>3805</v>
      </c>
      <c r="E7" s="4">
        <f t="shared" si="3"/>
        <v>6907</v>
      </c>
      <c r="F7" s="4">
        <v>3393</v>
      </c>
      <c r="G7" s="4">
        <v>3514</v>
      </c>
      <c r="H7" s="4">
        <f t="shared" si="4"/>
        <v>1632</v>
      </c>
      <c r="I7" s="4">
        <v>1341</v>
      </c>
      <c r="J7" s="4">
        <v>291</v>
      </c>
      <c r="K7" s="2">
        <f t="shared" si="5"/>
        <v>19.112308232814147</v>
      </c>
      <c r="L7" s="3">
        <f t="shared" si="6"/>
        <v>96.556630620375643</v>
      </c>
      <c r="M7" s="4">
        <v>1938</v>
      </c>
      <c r="N7" s="4">
        <v>2366</v>
      </c>
      <c r="O7" s="4">
        <v>2342</v>
      </c>
      <c r="P7" s="4">
        <v>261</v>
      </c>
      <c r="Q7" s="6">
        <f t="shared" si="8"/>
        <v>0.28058491385550888</v>
      </c>
      <c r="R7" s="6">
        <f t="shared" si="9"/>
        <v>0.34255103518169971</v>
      </c>
      <c r="S7" s="6">
        <f t="shared" si="10"/>
        <v>0.33907629940639933</v>
      </c>
      <c r="T7" s="6">
        <f t="shared" si="11"/>
        <v>3.7787751556392066E-2</v>
      </c>
    </row>
    <row r="8" spans="1:20" x14ac:dyDescent="0.25">
      <c r="A8" s="1" t="s">
        <v>3</v>
      </c>
      <c r="B8" s="4">
        <f t="shared" si="0"/>
        <v>10054</v>
      </c>
      <c r="C8" s="4">
        <f t="shared" si="1"/>
        <v>6224</v>
      </c>
      <c r="D8" s="4">
        <f t="shared" si="2"/>
        <v>3830</v>
      </c>
      <c r="E8" s="4">
        <f t="shared" si="3"/>
        <v>6884</v>
      </c>
      <c r="F8" s="4">
        <v>3455</v>
      </c>
      <c r="G8" s="4">
        <v>3429</v>
      </c>
      <c r="H8" s="4">
        <f t="shared" si="4"/>
        <v>3170</v>
      </c>
      <c r="I8" s="4">
        <v>2769</v>
      </c>
      <c r="J8" s="4">
        <v>401</v>
      </c>
      <c r="K8" s="2">
        <f t="shared" si="5"/>
        <v>31.529739407201113</v>
      </c>
      <c r="L8" s="3">
        <f t="shared" si="6"/>
        <v>100.75823855351413</v>
      </c>
      <c r="M8" s="4">
        <v>1704</v>
      </c>
      <c r="N8" s="4">
        <v>2367</v>
      </c>
      <c r="O8" s="4">
        <v>2450</v>
      </c>
      <c r="P8" s="4">
        <v>363</v>
      </c>
      <c r="Q8" s="6">
        <f t="shared" si="8"/>
        <v>0.24753050552004649</v>
      </c>
      <c r="R8" s="6">
        <f t="shared" si="9"/>
        <v>0.34384079023823361</v>
      </c>
      <c r="S8" s="6">
        <f t="shared" si="10"/>
        <v>0.35589773387565371</v>
      </c>
      <c r="T8" s="6">
        <f t="shared" si="11"/>
        <v>5.2730970366066242E-2</v>
      </c>
    </row>
    <row r="9" spans="1:20" x14ac:dyDescent="0.25">
      <c r="A9" s="1" t="s">
        <v>4</v>
      </c>
      <c r="B9" s="4">
        <f t="shared" si="0"/>
        <v>6705</v>
      </c>
      <c r="C9" s="4">
        <f t="shared" si="1"/>
        <v>4094</v>
      </c>
      <c r="D9" s="4">
        <f t="shared" si="2"/>
        <v>2611</v>
      </c>
      <c r="E9" s="4">
        <f t="shared" si="3"/>
        <v>4888</v>
      </c>
      <c r="F9" s="4">
        <v>2481</v>
      </c>
      <c r="G9" s="4">
        <v>2407</v>
      </c>
      <c r="H9" s="4">
        <f t="shared" si="4"/>
        <v>1817</v>
      </c>
      <c r="I9" s="4">
        <v>1613</v>
      </c>
      <c r="J9" s="4">
        <v>204</v>
      </c>
      <c r="K9" s="2">
        <f t="shared" si="5"/>
        <v>27.099179716629379</v>
      </c>
      <c r="L9" s="3">
        <f t="shared" si="6"/>
        <v>103.07436643124221</v>
      </c>
      <c r="M9" s="4">
        <v>1269</v>
      </c>
      <c r="N9" s="4">
        <v>1719</v>
      </c>
      <c r="O9" s="4">
        <v>1670</v>
      </c>
      <c r="P9" s="4">
        <v>230</v>
      </c>
      <c r="Q9" s="6">
        <f t="shared" si="8"/>
        <v>0.25961538461538464</v>
      </c>
      <c r="R9" s="6">
        <f t="shared" si="9"/>
        <v>0.35167757774140751</v>
      </c>
      <c r="S9" s="6">
        <f t="shared" si="10"/>
        <v>0.34165302782324058</v>
      </c>
      <c r="T9" s="6">
        <f t="shared" si="11"/>
        <v>4.7054009819967269E-2</v>
      </c>
    </row>
    <row r="10" spans="1:20" x14ac:dyDescent="0.25">
      <c r="A10" s="1" t="s">
        <v>5</v>
      </c>
      <c r="B10" s="4">
        <f t="shared" si="0"/>
        <v>13327</v>
      </c>
      <c r="C10" s="4">
        <f t="shared" si="1"/>
        <v>8855</v>
      </c>
      <c r="D10" s="4">
        <f t="shared" si="2"/>
        <v>4472</v>
      </c>
      <c r="E10" s="4">
        <f t="shared" si="3"/>
        <v>8159</v>
      </c>
      <c r="F10" s="4">
        <v>4055</v>
      </c>
      <c r="G10" s="4">
        <v>4104</v>
      </c>
      <c r="H10" s="4">
        <f t="shared" si="4"/>
        <v>5168</v>
      </c>
      <c r="I10" s="4">
        <v>4800</v>
      </c>
      <c r="J10" s="4">
        <v>368</v>
      </c>
      <c r="K10" s="2">
        <f t="shared" si="5"/>
        <v>38.778419749380951</v>
      </c>
      <c r="L10" s="3">
        <f t="shared" si="6"/>
        <v>98.806042884990248</v>
      </c>
      <c r="M10" s="4">
        <v>2341</v>
      </c>
      <c r="N10" s="4">
        <v>2832</v>
      </c>
      <c r="O10" s="4">
        <v>2659</v>
      </c>
      <c r="P10" s="4">
        <v>327</v>
      </c>
      <c r="Q10" s="6">
        <f t="shared" si="8"/>
        <v>0.28692241696286308</v>
      </c>
      <c r="R10" s="6">
        <f t="shared" si="9"/>
        <v>0.34710136046084078</v>
      </c>
      <c r="S10" s="6">
        <f t="shared" si="10"/>
        <v>0.32589778159088123</v>
      </c>
      <c r="T10" s="6">
        <f t="shared" si="11"/>
        <v>4.0078440985414882E-2</v>
      </c>
    </row>
    <row r="11" spans="1:20" x14ac:dyDescent="0.25">
      <c r="A11" s="1" t="s">
        <v>6</v>
      </c>
      <c r="B11" s="4">
        <f t="shared" si="0"/>
        <v>22531</v>
      </c>
      <c r="C11" s="4">
        <f t="shared" si="1"/>
        <v>12286</v>
      </c>
      <c r="D11" s="4">
        <f t="shared" si="2"/>
        <v>10245</v>
      </c>
      <c r="E11" s="4">
        <f t="shared" si="3"/>
        <v>18351</v>
      </c>
      <c r="F11" s="4">
        <v>9050</v>
      </c>
      <c r="G11" s="4">
        <v>9301</v>
      </c>
      <c r="H11" s="4">
        <f t="shared" si="4"/>
        <v>4180</v>
      </c>
      <c r="I11" s="4">
        <v>3236</v>
      </c>
      <c r="J11" s="4">
        <v>944</v>
      </c>
      <c r="K11" s="2">
        <f t="shared" si="5"/>
        <v>18.552216945541698</v>
      </c>
      <c r="L11" s="3">
        <f t="shared" si="6"/>
        <v>97.30136544457585</v>
      </c>
      <c r="M11" s="4">
        <v>5601</v>
      </c>
      <c r="N11" s="4">
        <v>5723</v>
      </c>
      <c r="O11" s="4">
        <v>6286</v>
      </c>
      <c r="P11" s="4">
        <v>741</v>
      </c>
      <c r="Q11" s="6">
        <f t="shared" si="8"/>
        <v>0.3052149746607814</v>
      </c>
      <c r="R11" s="6">
        <f t="shared" si="9"/>
        <v>0.31186311372677239</v>
      </c>
      <c r="S11" s="6">
        <f t="shared" si="10"/>
        <v>0.3425426407280257</v>
      </c>
      <c r="T11" s="6">
        <f t="shared" si="11"/>
        <v>4.0379270884420469E-2</v>
      </c>
    </row>
    <row r="12" spans="1:20" x14ac:dyDescent="0.25">
      <c r="A12" s="1" t="s">
        <v>7</v>
      </c>
      <c r="B12" s="4">
        <f t="shared" si="0"/>
        <v>29856</v>
      </c>
      <c r="C12" s="4">
        <f t="shared" si="1"/>
        <v>15987</v>
      </c>
      <c r="D12" s="4">
        <f t="shared" si="2"/>
        <v>13869</v>
      </c>
      <c r="E12" s="4">
        <f t="shared" si="3"/>
        <v>26619</v>
      </c>
      <c r="F12" s="4">
        <v>13000</v>
      </c>
      <c r="G12" s="4">
        <v>13619</v>
      </c>
      <c r="H12" s="4">
        <f t="shared" si="4"/>
        <v>3237</v>
      </c>
      <c r="I12" s="4">
        <v>2987</v>
      </c>
      <c r="J12" s="4">
        <v>250</v>
      </c>
      <c r="K12" s="2">
        <f t="shared" si="5"/>
        <v>10.842041800643088</v>
      </c>
      <c r="L12" s="3">
        <f t="shared" si="6"/>
        <v>95.454879212864384</v>
      </c>
      <c r="M12" s="4">
        <v>8625</v>
      </c>
      <c r="N12" s="4">
        <v>8483</v>
      </c>
      <c r="O12" s="4">
        <v>8731</v>
      </c>
      <c r="P12" s="4">
        <v>780</v>
      </c>
      <c r="Q12" s="6">
        <f t="shared" si="8"/>
        <v>0.32401667981516963</v>
      </c>
      <c r="R12" s="6">
        <f t="shared" si="9"/>
        <v>0.31868214433299524</v>
      </c>
      <c r="S12" s="6">
        <f t="shared" si="10"/>
        <v>0.32799879785115893</v>
      </c>
      <c r="T12" s="6">
        <f t="shared" si="11"/>
        <v>2.930237800067621E-2</v>
      </c>
    </row>
    <row r="13" spans="1:20" x14ac:dyDescent="0.25">
      <c r="A13" s="1" t="s">
        <v>8</v>
      </c>
      <c r="B13" s="4">
        <f t="shared" si="0"/>
        <v>8806</v>
      </c>
      <c r="C13" s="4">
        <f t="shared" si="1"/>
        <v>5126</v>
      </c>
      <c r="D13" s="4">
        <f t="shared" si="2"/>
        <v>3680</v>
      </c>
      <c r="E13" s="4">
        <f t="shared" si="3"/>
        <v>6789</v>
      </c>
      <c r="F13" s="4">
        <v>3466</v>
      </c>
      <c r="G13" s="4">
        <v>3323</v>
      </c>
      <c r="H13" s="4">
        <f t="shared" si="4"/>
        <v>2017</v>
      </c>
      <c r="I13" s="4">
        <v>1660</v>
      </c>
      <c r="J13" s="4">
        <v>357</v>
      </c>
      <c r="K13" s="2">
        <f t="shared" si="5"/>
        <v>22.904837610719962</v>
      </c>
      <c r="L13" s="3">
        <f t="shared" si="6"/>
        <v>104.3033403551008</v>
      </c>
      <c r="M13" s="4">
        <v>1853</v>
      </c>
      <c r="N13" s="4">
        <v>2478</v>
      </c>
      <c r="O13" s="4">
        <v>2181</v>
      </c>
      <c r="P13" s="4">
        <v>277</v>
      </c>
      <c r="Q13" s="6">
        <f t="shared" si="8"/>
        <v>0.27294152305199587</v>
      </c>
      <c r="R13" s="6">
        <f t="shared" si="9"/>
        <v>0.36500220945647371</v>
      </c>
      <c r="S13" s="6">
        <f t="shared" si="10"/>
        <v>0.32125497127706582</v>
      </c>
      <c r="T13" s="6">
        <f t="shared" si="11"/>
        <v>4.0801296214464572E-2</v>
      </c>
    </row>
    <row r="14" spans="1:20" x14ac:dyDescent="0.25">
      <c r="A14" s="1" t="s">
        <v>9</v>
      </c>
      <c r="B14" s="4">
        <f t="shared" si="0"/>
        <v>13647</v>
      </c>
      <c r="C14" s="4">
        <f t="shared" si="1"/>
        <v>8305</v>
      </c>
      <c r="D14" s="4">
        <f t="shared" si="2"/>
        <v>5342</v>
      </c>
      <c r="E14" s="4">
        <f t="shared" si="3"/>
        <v>9710</v>
      </c>
      <c r="F14" s="4">
        <v>4769</v>
      </c>
      <c r="G14" s="4">
        <v>4941</v>
      </c>
      <c r="H14" s="4">
        <f t="shared" si="4"/>
        <v>3937</v>
      </c>
      <c r="I14" s="4">
        <v>3536</v>
      </c>
      <c r="J14" s="4">
        <v>401</v>
      </c>
      <c r="K14" s="2">
        <f t="shared" si="5"/>
        <v>28.848831244962263</v>
      </c>
      <c r="L14" s="3">
        <f t="shared" si="6"/>
        <v>96.518923294879571</v>
      </c>
      <c r="M14" s="4">
        <v>2569</v>
      </c>
      <c r="N14" s="4">
        <v>3376</v>
      </c>
      <c r="O14" s="4">
        <v>3329</v>
      </c>
      <c r="P14" s="4">
        <v>436</v>
      </c>
      <c r="Q14" s="6">
        <f t="shared" si="8"/>
        <v>0.26457260556127704</v>
      </c>
      <c r="R14" s="6">
        <f t="shared" si="9"/>
        <v>0.34768280123583933</v>
      </c>
      <c r="S14" s="6">
        <f t="shared" si="10"/>
        <v>0.34284243048403706</v>
      </c>
      <c r="T14" s="6">
        <f t="shared" si="11"/>
        <v>4.4902162718846547E-2</v>
      </c>
    </row>
    <row r="15" spans="1:20" x14ac:dyDescent="0.25">
      <c r="A15" s="1" t="s">
        <v>10</v>
      </c>
      <c r="B15" s="4">
        <f t="shared" si="0"/>
        <v>10628</v>
      </c>
      <c r="C15" s="4">
        <f t="shared" si="1"/>
        <v>6282</v>
      </c>
      <c r="D15" s="4">
        <f t="shared" si="2"/>
        <v>4346</v>
      </c>
      <c r="E15" s="4">
        <f t="shared" si="3"/>
        <v>7932</v>
      </c>
      <c r="F15" s="4">
        <v>3880</v>
      </c>
      <c r="G15" s="4">
        <v>4052</v>
      </c>
      <c r="H15" s="4">
        <f t="shared" si="4"/>
        <v>2696</v>
      </c>
      <c r="I15" s="4">
        <v>2402</v>
      </c>
      <c r="J15" s="4">
        <v>294</v>
      </c>
      <c r="K15" s="2">
        <f t="shared" si="5"/>
        <v>25.366955212645841</v>
      </c>
      <c r="L15" s="3">
        <f t="shared" si="6"/>
        <v>95.755182625863767</v>
      </c>
      <c r="M15" s="4">
        <v>2119</v>
      </c>
      <c r="N15" s="4">
        <v>2883</v>
      </c>
      <c r="O15" s="4">
        <v>2577</v>
      </c>
      <c r="P15" s="4">
        <v>353</v>
      </c>
      <c r="Q15" s="6">
        <f t="shared" si="8"/>
        <v>0.26714573877962683</v>
      </c>
      <c r="R15" s="6">
        <f t="shared" si="9"/>
        <v>0.36346444780635401</v>
      </c>
      <c r="S15" s="6">
        <f t="shared" si="10"/>
        <v>0.32488653555219366</v>
      </c>
      <c r="T15" s="6">
        <f t="shared" si="11"/>
        <v>4.4503277861825515E-2</v>
      </c>
    </row>
    <row r="16" spans="1:20" x14ac:dyDescent="0.25">
      <c r="A16" s="1" t="s">
        <v>11</v>
      </c>
      <c r="B16" s="4">
        <f t="shared" si="0"/>
        <v>13699</v>
      </c>
      <c r="C16" s="4">
        <f t="shared" si="1"/>
        <v>8496</v>
      </c>
      <c r="D16" s="4">
        <f t="shared" si="2"/>
        <v>5203</v>
      </c>
      <c r="E16" s="4">
        <f t="shared" si="3"/>
        <v>9469</v>
      </c>
      <c r="F16" s="4">
        <v>4730</v>
      </c>
      <c r="G16" s="4">
        <v>4739</v>
      </c>
      <c r="H16" s="4">
        <f t="shared" si="4"/>
        <v>4230</v>
      </c>
      <c r="I16" s="4">
        <v>3766</v>
      </c>
      <c r="J16" s="4">
        <v>464</v>
      </c>
      <c r="K16" s="2">
        <f t="shared" si="5"/>
        <v>30.878166289510183</v>
      </c>
      <c r="L16" s="3">
        <f t="shared" si="6"/>
        <v>99.810086516142647</v>
      </c>
      <c r="M16" s="4">
        <v>2455</v>
      </c>
      <c r="N16" s="4">
        <v>3326</v>
      </c>
      <c r="O16" s="4">
        <v>3220</v>
      </c>
      <c r="P16" s="4">
        <v>468</v>
      </c>
      <c r="Q16" s="6">
        <f t="shared" si="8"/>
        <v>0.25926708205723942</v>
      </c>
      <c r="R16" s="6">
        <f t="shared" si="9"/>
        <v>0.35125145210687508</v>
      </c>
      <c r="S16" s="6">
        <f t="shared" si="10"/>
        <v>0.34005702819727535</v>
      </c>
      <c r="T16" s="6">
        <f t="shared" si="11"/>
        <v>4.9424437638610201E-2</v>
      </c>
    </row>
    <row r="17" spans="1:20" x14ac:dyDescent="0.25">
      <c r="A17" s="1" t="s">
        <v>12</v>
      </c>
      <c r="B17" s="4">
        <f t="shared" si="0"/>
        <v>8980</v>
      </c>
      <c r="C17" s="4">
        <f t="shared" si="1"/>
        <v>5314</v>
      </c>
      <c r="D17" s="4">
        <f t="shared" si="2"/>
        <v>3666</v>
      </c>
      <c r="E17" s="4">
        <f t="shared" si="3"/>
        <v>7091</v>
      </c>
      <c r="F17" s="4">
        <v>3604</v>
      </c>
      <c r="G17" s="4">
        <v>3487</v>
      </c>
      <c r="H17" s="4">
        <f t="shared" si="4"/>
        <v>1889</v>
      </c>
      <c r="I17" s="4">
        <v>1710</v>
      </c>
      <c r="J17" s="4">
        <v>179</v>
      </c>
      <c r="K17" s="2">
        <f t="shared" si="5"/>
        <v>21.035634743875278</v>
      </c>
      <c r="L17" s="3">
        <f t="shared" si="6"/>
        <v>103.35531975910526</v>
      </c>
      <c r="M17" s="4">
        <v>1907</v>
      </c>
      <c r="N17" s="4">
        <v>2525</v>
      </c>
      <c r="O17" s="4">
        <v>2359</v>
      </c>
      <c r="P17" s="4">
        <v>300</v>
      </c>
      <c r="Q17" s="6">
        <f t="shared" si="8"/>
        <v>0.26893244958397972</v>
      </c>
      <c r="R17" s="6">
        <f t="shared" si="9"/>
        <v>0.3560851783951488</v>
      </c>
      <c r="S17" s="6">
        <f t="shared" si="10"/>
        <v>0.33267522211253703</v>
      </c>
      <c r="T17" s="6">
        <f t="shared" si="11"/>
        <v>4.2307149908334507E-2</v>
      </c>
    </row>
    <row r="18" spans="1:20" x14ac:dyDescent="0.25">
      <c r="A18" s="1" t="s">
        <v>13</v>
      </c>
      <c r="B18" s="4">
        <f t="shared" si="0"/>
        <v>9947</v>
      </c>
      <c r="C18" s="4">
        <f t="shared" si="1"/>
        <v>5691</v>
      </c>
      <c r="D18" s="4">
        <f t="shared" si="2"/>
        <v>4256</v>
      </c>
      <c r="E18" s="4">
        <f t="shared" si="3"/>
        <v>7740</v>
      </c>
      <c r="F18" s="4">
        <v>3743</v>
      </c>
      <c r="G18" s="4">
        <v>3997</v>
      </c>
      <c r="H18" s="4">
        <f t="shared" si="4"/>
        <v>2207</v>
      </c>
      <c r="I18" s="4">
        <v>1948</v>
      </c>
      <c r="J18" s="4">
        <v>259</v>
      </c>
      <c r="K18" s="2">
        <f t="shared" si="5"/>
        <v>22.187594249522469</v>
      </c>
      <c r="L18" s="3">
        <f t="shared" si="6"/>
        <v>93.645233925444089</v>
      </c>
      <c r="M18" s="4">
        <v>2180</v>
      </c>
      <c r="N18" s="4">
        <v>2615</v>
      </c>
      <c r="O18" s="4">
        <v>2599</v>
      </c>
      <c r="P18" s="4">
        <v>346</v>
      </c>
      <c r="Q18" s="6">
        <f t="shared" si="8"/>
        <v>0.28165374677002586</v>
      </c>
      <c r="R18" s="6">
        <f t="shared" si="9"/>
        <v>0.33785529715762275</v>
      </c>
      <c r="S18" s="6">
        <f t="shared" si="10"/>
        <v>0.33578811369509043</v>
      </c>
      <c r="T18" s="6">
        <f t="shared" si="11"/>
        <v>4.4702842377260979E-2</v>
      </c>
    </row>
    <row r="19" spans="1:20" x14ac:dyDescent="0.25">
      <c r="A19" s="1" t="s">
        <v>14</v>
      </c>
      <c r="B19" s="4">
        <f t="shared" si="0"/>
        <v>8650</v>
      </c>
      <c r="C19" s="4">
        <f t="shared" si="1"/>
        <v>5259</v>
      </c>
      <c r="D19" s="4">
        <f t="shared" si="2"/>
        <v>3391</v>
      </c>
      <c r="E19" s="4">
        <f t="shared" si="3"/>
        <v>5894</v>
      </c>
      <c r="F19" s="4">
        <v>2834</v>
      </c>
      <c r="G19" s="4">
        <v>3060</v>
      </c>
      <c r="H19" s="4">
        <f t="shared" si="4"/>
        <v>2756</v>
      </c>
      <c r="I19" s="4">
        <v>2425</v>
      </c>
      <c r="J19" s="4">
        <v>331</v>
      </c>
      <c r="K19" s="2">
        <f t="shared" si="5"/>
        <v>31.861271676300579</v>
      </c>
      <c r="L19" s="3">
        <f t="shared" si="6"/>
        <v>92.614379084967325</v>
      </c>
      <c r="M19" s="4">
        <v>1552</v>
      </c>
      <c r="N19" s="4">
        <v>2007</v>
      </c>
      <c r="O19" s="4">
        <v>2060</v>
      </c>
      <c r="P19" s="4">
        <v>275</v>
      </c>
      <c r="Q19" s="6">
        <f t="shared" si="8"/>
        <v>0.26331862911435355</v>
      </c>
      <c r="R19" s="6">
        <f t="shared" si="9"/>
        <v>0.34051577875805905</v>
      </c>
      <c r="S19" s="6">
        <f t="shared" si="10"/>
        <v>0.34950797421106211</v>
      </c>
      <c r="T19" s="6">
        <f t="shared" si="11"/>
        <v>4.6657617916525278E-2</v>
      </c>
    </row>
    <row r="20" spans="1:20" x14ac:dyDescent="0.25">
      <c r="A20" s="1" t="s">
        <v>15</v>
      </c>
      <c r="B20" s="4">
        <f t="shared" si="0"/>
        <v>8625</v>
      </c>
      <c r="C20" s="4">
        <f t="shared" si="1"/>
        <v>5244</v>
      </c>
      <c r="D20" s="4">
        <f t="shared" si="2"/>
        <v>3381</v>
      </c>
      <c r="E20" s="4">
        <f t="shared" si="3"/>
        <v>6086</v>
      </c>
      <c r="F20" s="4">
        <v>3039</v>
      </c>
      <c r="G20" s="4">
        <v>3047</v>
      </c>
      <c r="H20" s="4">
        <f t="shared" si="4"/>
        <v>2539</v>
      </c>
      <c r="I20" s="4">
        <v>2205</v>
      </c>
      <c r="J20" s="4">
        <v>334</v>
      </c>
      <c r="K20" s="2">
        <f t="shared" si="5"/>
        <v>29.437681159420293</v>
      </c>
      <c r="L20" s="3">
        <f t="shared" si="6"/>
        <v>99.737446668854616</v>
      </c>
      <c r="M20" s="4">
        <v>1550</v>
      </c>
      <c r="N20" s="4">
        <v>2163</v>
      </c>
      <c r="O20" s="4">
        <v>2100</v>
      </c>
      <c r="P20" s="4">
        <v>273</v>
      </c>
      <c r="Q20" s="6">
        <f t="shared" si="8"/>
        <v>0.25468287873808743</v>
      </c>
      <c r="R20" s="6">
        <f t="shared" si="9"/>
        <v>0.35540584949063425</v>
      </c>
      <c r="S20" s="6">
        <f t="shared" si="10"/>
        <v>0.34505422280644099</v>
      </c>
      <c r="T20" s="6">
        <f t="shared" si="11"/>
        <v>4.4857048964837332E-2</v>
      </c>
    </row>
    <row r="21" spans="1:20" x14ac:dyDescent="0.25">
      <c r="A21" s="1" t="s">
        <v>16</v>
      </c>
      <c r="B21" s="4">
        <f t="shared" si="0"/>
        <v>6755</v>
      </c>
      <c r="C21" s="4">
        <f t="shared" si="1"/>
        <v>3581</v>
      </c>
      <c r="D21" s="4">
        <f t="shared" si="2"/>
        <v>3174</v>
      </c>
      <c r="E21" s="4">
        <f t="shared" si="3"/>
        <v>5971</v>
      </c>
      <c r="F21" s="4">
        <v>2911</v>
      </c>
      <c r="G21" s="4">
        <v>3060</v>
      </c>
      <c r="H21" s="4">
        <f t="shared" si="4"/>
        <v>784</v>
      </c>
      <c r="I21" s="4">
        <v>670</v>
      </c>
      <c r="J21" s="4">
        <v>114</v>
      </c>
      <c r="K21" s="2">
        <f t="shared" si="5"/>
        <v>11.606217616580311</v>
      </c>
      <c r="L21" s="3">
        <f t="shared" si="6"/>
        <v>95.130718954248366</v>
      </c>
      <c r="M21" s="4">
        <v>1799</v>
      </c>
      <c r="N21" s="4">
        <v>1969</v>
      </c>
      <c r="O21" s="4">
        <v>1932</v>
      </c>
      <c r="P21" s="4">
        <v>271</v>
      </c>
      <c r="Q21" s="6">
        <f t="shared" si="8"/>
        <v>0.30128956623681125</v>
      </c>
      <c r="R21" s="6">
        <f t="shared" si="9"/>
        <v>0.32976050912744936</v>
      </c>
      <c r="S21" s="6">
        <f t="shared" si="10"/>
        <v>0.32356389214536929</v>
      </c>
      <c r="T21" s="6">
        <f t="shared" si="11"/>
        <v>4.5386032490370119E-2</v>
      </c>
    </row>
    <row r="22" spans="1:20" x14ac:dyDescent="0.25">
      <c r="A22" s="1" t="s">
        <v>17</v>
      </c>
      <c r="B22" s="4">
        <f t="shared" si="0"/>
        <v>2553</v>
      </c>
      <c r="C22" s="4">
        <f t="shared" si="1"/>
        <v>1224</v>
      </c>
      <c r="D22" s="4">
        <f t="shared" si="2"/>
        <v>1329</v>
      </c>
      <c r="E22" s="4">
        <f t="shared" si="3"/>
        <v>2355</v>
      </c>
      <c r="F22" s="4">
        <v>1059</v>
      </c>
      <c r="G22" s="4">
        <v>1296</v>
      </c>
      <c r="H22" s="4">
        <f t="shared" si="4"/>
        <v>198</v>
      </c>
      <c r="I22" s="4">
        <v>165</v>
      </c>
      <c r="J22" s="4">
        <v>33</v>
      </c>
      <c r="K22" s="2">
        <f t="shared" si="5"/>
        <v>7.7555816686251475</v>
      </c>
      <c r="L22" s="3">
        <f t="shared" si="6"/>
        <v>81.712962962962962</v>
      </c>
      <c r="M22" s="4">
        <v>868</v>
      </c>
      <c r="N22" s="4">
        <v>550</v>
      </c>
      <c r="O22" s="4">
        <v>762</v>
      </c>
      <c r="P22" s="4">
        <v>175</v>
      </c>
      <c r="Q22" s="6">
        <f t="shared" si="8"/>
        <v>0.36857749469214435</v>
      </c>
      <c r="R22" s="6">
        <f t="shared" si="9"/>
        <v>0.23354564755838642</v>
      </c>
      <c r="S22" s="6">
        <f t="shared" si="10"/>
        <v>0.3235668789808917</v>
      </c>
      <c r="T22" s="6">
        <f t="shared" si="11"/>
        <v>7.4309978768577492E-2</v>
      </c>
    </row>
    <row r="23" spans="1:20" x14ac:dyDescent="0.25">
      <c r="A23" s="1" t="s">
        <v>18</v>
      </c>
      <c r="B23" s="4">
        <f t="shared" si="0"/>
        <v>3382</v>
      </c>
      <c r="C23" s="4">
        <f t="shared" si="1"/>
        <v>1615</v>
      </c>
      <c r="D23" s="4">
        <f t="shared" si="2"/>
        <v>1767</v>
      </c>
      <c r="E23" s="4">
        <f t="shared" si="3"/>
        <v>3113</v>
      </c>
      <c r="F23" s="4">
        <v>1388</v>
      </c>
      <c r="G23" s="4">
        <v>1725</v>
      </c>
      <c r="H23" s="4">
        <f t="shared" si="4"/>
        <v>269</v>
      </c>
      <c r="I23" s="4">
        <v>227</v>
      </c>
      <c r="J23" s="4">
        <v>42</v>
      </c>
      <c r="K23" s="2">
        <f t="shared" si="5"/>
        <v>7.9538734476641046</v>
      </c>
      <c r="L23" s="3">
        <f t="shared" si="6"/>
        <v>80.463768115942031</v>
      </c>
      <c r="M23" s="4">
        <v>1260</v>
      </c>
      <c r="N23" s="4">
        <v>743</v>
      </c>
      <c r="O23" s="4">
        <v>926</v>
      </c>
      <c r="P23" s="4">
        <v>184</v>
      </c>
      <c r="Q23" s="6">
        <f t="shared" si="8"/>
        <v>0.40475425634436235</v>
      </c>
      <c r="R23" s="6">
        <f t="shared" si="9"/>
        <v>0.2386765178284613</v>
      </c>
      <c r="S23" s="6">
        <f t="shared" si="10"/>
        <v>0.29746225505942819</v>
      </c>
      <c r="T23" s="6">
        <f t="shared" si="11"/>
        <v>5.9106970767748152E-2</v>
      </c>
    </row>
    <row r="24" spans="1:20" x14ac:dyDescent="0.25">
      <c r="A24" s="1" t="s">
        <v>19</v>
      </c>
      <c r="B24" s="4">
        <f t="shared" si="0"/>
        <v>2649</v>
      </c>
      <c r="C24" s="4">
        <f t="shared" si="1"/>
        <v>1390</v>
      </c>
      <c r="D24" s="4">
        <f t="shared" si="2"/>
        <v>1259</v>
      </c>
      <c r="E24" s="4">
        <f t="shared" si="3"/>
        <v>2379</v>
      </c>
      <c r="F24" s="4">
        <v>1164</v>
      </c>
      <c r="G24" s="4">
        <v>1215</v>
      </c>
      <c r="H24" s="4">
        <f t="shared" si="4"/>
        <v>270</v>
      </c>
      <c r="I24" s="4">
        <v>226</v>
      </c>
      <c r="J24" s="4">
        <v>44</v>
      </c>
      <c r="K24" s="2">
        <f t="shared" si="5"/>
        <v>10.192525481313703</v>
      </c>
      <c r="L24" s="3">
        <f t="shared" si="6"/>
        <v>95.802469135802468</v>
      </c>
      <c r="M24" s="4">
        <v>766</v>
      </c>
      <c r="N24" s="4">
        <v>575</v>
      </c>
      <c r="O24" s="4">
        <v>815</v>
      </c>
      <c r="P24" s="4">
        <v>223</v>
      </c>
      <c r="Q24" s="6">
        <f t="shared" si="8"/>
        <v>0.32198402690205968</v>
      </c>
      <c r="R24" s="6">
        <f t="shared" si="9"/>
        <v>0.24169819251786465</v>
      </c>
      <c r="S24" s="6">
        <f t="shared" si="10"/>
        <v>0.34258091635140814</v>
      </c>
      <c r="T24" s="6">
        <f t="shared" si="11"/>
        <v>9.3736864228667505E-2</v>
      </c>
    </row>
    <row r="25" spans="1:20" x14ac:dyDescent="0.25">
      <c r="A25" s="1" t="s">
        <v>20</v>
      </c>
      <c r="B25" s="4">
        <f t="shared" si="0"/>
        <v>3807</v>
      </c>
      <c r="C25" s="4">
        <f t="shared" si="1"/>
        <v>1904</v>
      </c>
      <c r="D25" s="4">
        <f t="shared" si="2"/>
        <v>1903</v>
      </c>
      <c r="E25" s="4">
        <f t="shared" si="3"/>
        <v>3564</v>
      </c>
      <c r="F25" s="4">
        <v>1684</v>
      </c>
      <c r="G25" s="4">
        <v>1880</v>
      </c>
      <c r="H25" s="4">
        <f t="shared" si="4"/>
        <v>243</v>
      </c>
      <c r="I25" s="4">
        <v>220</v>
      </c>
      <c r="J25" s="4">
        <v>23</v>
      </c>
      <c r="K25" s="2">
        <f t="shared" si="5"/>
        <v>6.3829787234042552</v>
      </c>
      <c r="L25" s="3">
        <f t="shared" si="6"/>
        <v>89.574468085106389</v>
      </c>
      <c r="M25" s="4">
        <v>1461</v>
      </c>
      <c r="N25" s="4">
        <v>924</v>
      </c>
      <c r="O25" s="4">
        <v>974</v>
      </c>
      <c r="P25" s="4">
        <v>205</v>
      </c>
      <c r="Q25" s="6">
        <f t="shared" si="8"/>
        <v>0.40993265993265993</v>
      </c>
      <c r="R25" s="6">
        <f t="shared" si="9"/>
        <v>0.25925925925925924</v>
      </c>
      <c r="S25" s="6">
        <f t="shared" si="10"/>
        <v>0.2732884399551066</v>
      </c>
      <c r="T25" s="6">
        <f t="shared" si="11"/>
        <v>5.7519640852974188E-2</v>
      </c>
    </row>
    <row r="26" spans="1:20" x14ac:dyDescent="0.25">
      <c r="A26" s="1" t="s">
        <v>21</v>
      </c>
      <c r="B26" s="4">
        <f t="shared" si="0"/>
        <v>2150</v>
      </c>
      <c r="C26" s="4">
        <f t="shared" si="1"/>
        <v>1101</v>
      </c>
      <c r="D26" s="4">
        <f t="shared" si="2"/>
        <v>1049</v>
      </c>
      <c r="E26" s="4">
        <f t="shared" si="3"/>
        <v>1902</v>
      </c>
      <c r="F26" s="4">
        <v>885</v>
      </c>
      <c r="G26" s="4">
        <v>1017</v>
      </c>
      <c r="H26" s="4">
        <f t="shared" si="4"/>
        <v>248</v>
      </c>
      <c r="I26" s="4">
        <v>216</v>
      </c>
      <c r="J26" s="4">
        <v>32</v>
      </c>
      <c r="K26" s="2">
        <f t="shared" si="5"/>
        <v>11.534883720930232</v>
      </c>
      <c r="L26" s="3">
        <f t="shared" si="6"/>
        <v>87.020648967551622</v>
      </c>
      <c r="M26" s="4">
        <v>636</v>
      </c>
      <c r="N26" s="4">
        <v>404</v>
      </c>
      <c r="O26" s="4">
        <v>689</v>
      </c>
      <c r="P26" s="4">
        <v>173</v>
      </c>
      <c r="Q26" s="6">
        <f t="shared" si="8"/>
        <v>0.33438485804416401</v>
      </c>
      <c r="R26" s="6">
        <f t="shared" si="9"/>
        <v>0.21240799158780233</v>
      </c>
      <c r="S26" s="6">
        <f t="shared" si="10"/>
        <v>0.36225026288117773</v>
      </c>
      <c r="T26" s="6">
        <f t="shared" si="11"/>
        <v>9.0956887486855945E-2</v>
      </c>
    </row>
    <row r="27" spans="1:20" x14ac:dyDescent="0.25">
      <c r="A27" s="1" t="s">
        <v>22</v>
      </c>
      <c r="B27" s="4">
        <f t="shared" si="0"/>
        <v>3856</v>
      </c>
      <c r="C27" s="4">
        <f t="shared" si="1"/>
        <v>2108</v>
      </c>
      <c r="D27" s="4">
        <f t="shared" si="2"/>
        <v>1748</v>
      </c>
      <c r="E27" s="4">
        <f t="shared" si="3"/>
        <v>2974</v>
      </c>
      <c r="F27" s="4">
        <v>1402</v>
      </c>
      <c r="G27" s="4">
        <v>1572</v>
      </c>
      <c r="H27" s="4">
        <f t="shared" si="4"/>
        <v>882</v>
      </c>
      <c r="I27" s="4">
        <v>706</v>
      </c>
      <c r="J27" s="4">
        <v>176</v>
      </c>
      <c r="K27" s="2">
        <f t="shared" si="5"/>
        <v>22.873443983402488</v>
      </c>
      <c r="L27" s="3">
        <f t="shared" si="6"/>
        <v>89.185750636132312</v>
      </c>
      <c r="M27" s="4">
        <v>1028</v>
      </c>
      <c r="N27" s="4">
        <v>812</v>
      </c>
      <c r="O27" s="4">
        <v>921</v>
      </c>
      <c r="P27" s="4">
        <v>213</v>
      </c>
      <c r="Q27" s="6">
        <f t="shared" si="8"/>
        <v>0.34566240753194349</v>
      </c>
      <c r="R27" s="6">
        <f t="shared" si="9"/>
        <v>0.27303295225285812</v>
      </c>
      <c r="S27" s="6">
        <f t="shared" si="10"/>
        <v>0.30968392737054473</v>
      </c>
      <c r="T27" s="6">
        <f t="shared" si="11"/>
        <v>7.1620712844653669E-2</v>
      </c>
    </row>
    <row r="28" spans="1:20" x14ac:dyDescent="0.25">
      <c r="A28" s="1" t="s">
        <v>23</v>
      </c>
      <c r="B28" s="4">
        <f t="shared" si="0"/>
        <v>5122</v>
      </c>
      <c r="C28" s="4">
        <f t="shared" si="1"/>
        <v>2618</v>
      </c>
      <c r="D28" s="4">
        <f t="shared" si="2"/>
        <v>2504</v>
      </c>
      <c r="E28" s="4">
        <f t="shared" si="3"/>
        <v>4542</v>
      </c>
      <c r="F28" s="4">
        <v>2087</v>
      </c>
      <c r="G28" s="4">
        <v>2455</v>
      </c>
      <c r="H28" s="4">
        <f t="shared" si="4"/>
        <v>580</v>
      </c>
      <c r="I28" s="4">
        <v>531</v>
      </c>
      <c r="J28" s="4">
        <v>49</v>
      </c>
      <c r="K28" s="2">
        <f t="shared" si="5"/>
        <v>11.323701679031629</v>
      </c>
      <c r="L28" s="3">
        <f t="shared" si="6"/>
        <v>85.010183299388999</v>
      </c>
      <c r="M28" s="4">
        <v>1709</v>
      </c>
      <c r="N28" s="4">
        <v>1213</v>
      </c>
      <c r="O28" s="4">
        <v>1356</v>
      </c>
      <c r="P28" s="4">
        <v>264</v>
      </c>
      <c r="Q28" s="6">
        <f t="shared" si="8"/>
        <v>0.37626596213121971</v>
      </c>
      <c r="R28" s="6">
        <f t="shared" si="9"/>
        <v>0.26706296785557021</v>
      </c>
      <c r="S28" s="6">
        <f t="shared" si="10"/>
        <v>0.29854689564068693</v>
      </c>
      <c r="T28" s="6">
        <f t="shared" si="11"/>
        <v>5.8124174372523117E-2</v>
      </c>
    </row>
    <row r="29" spans="1:20" x14ac:dyDescent="0.25">
      <c r="A29" s="1" t="s">
        <v>24</v>
      </c>
      <c r="B29" s="4">
        <f t="shared" si="0"/>
        <v>5009</v>
      </c>
      <c r="C29" s="4">
        <f t="shared" si="1"/>
        <v>2307</v>
      </c>
      <c r="D29" s="4">
        <f t="shared" si="2"/>
        <v>2702</v>
      </c>
      <c r="E29" s="4">
        <f t="shared" si="3"/>
        <v>4792</v>
      </c>
      <c r="F29" s="4">
        <v>2124</v>
      </c>
      <c r="G29" s="4">
        <v>2668</v>
      </c>
      <c r="H29" s="4">
        <f t="shared" si="4"/>
        <v>217</v>
      </c>
      <c r="I29" s="4">
        <v>183</v>
      </c>
      <c r="J29" s="4">
        <v>34</v>
      </c>
      <c r="K29" s="2">
        <f t="shared" si="5"/>
        <v>4.3322020363345972</v>
      </c>
      <c r="L29" s="3">
        <f t="shared" si="6"/>
        <v>79.610194902548727</v>
      </c>
      <c r="M29" s="4">
        <v>1892</v>
      </c>
      <c r="N29" s="4">
        <v>1317</v>
      </c>
      <c r="O29" s="4">
        <v>1329</v>
      </c>
      <c r="P29" s="4">
        <v>254</v>
      </c>
      <c r="Q29" s="6">
        <f t="shared" si="8"/>
        <v>0.39482470784641066</v>
      </c>
      <c r="R29" s="6">
        <f t="shared" si="9"/>
        <v>0.27483305509181971</v>
      </c>
      <c r="S29" s="6">
        <f t="shared" si="10"/>
        <v>0.27733722871452421</v>
      </c>
      <c r="T29" s="6">
        <f t="shared" si="11"/>
        <v>5.3005008347245412E-2</v>
      </c>
    </row>
    <row r="30" spans="1:20" x14ac:dyDescent="0.25">
      <c r="A30" s="1" t="s">
        <v>25</v>
      </c>
      <c r="B30" s="4">
        <f t="shared" si="0"/>
        <v>2883</v>
      </c>
      <c r="C30" s="4">
        <f t="shared" si="1"/>
        <v>1364</v>
      </c>
      <c r="D30" s="4">
        <f t="shared" si="2"/>
        <v>1519</v>
      </c>
      <c r="E30" s="4">
        <f t="shared" si="3"/>
        <v>2702</v>
      </c>
      <c r="F30" s="4">
        <v>1220</v>
      </c>
      <c r="G30" s="4">
        <v>1482</v>
      </c>
      <c r="H30" s="4">
        <f t="shared" si="4"/>
        <v>181</v>
      </c>
      <c r="I30" s="4">
        <v>144</v>
      </c>
      <c r="J30" s="4">
        <v>37</v>
      </c>
      <c r="K30" s="2">
        <f t="shared" si="5"/>
        <v>6.2781824488380158</v>
      </c>
      <c r="L30" s="3">
        <f t="shared" si="6"/>
        <v>82.321187584345481</v>
      </c>
      <c r="M30" s="4">
        <v>1016</v>
      </c>
      <c r="N30" s="4">
        <v>624</v>
      </c>
      <c r="O30" s="4">
        <v>871</v>
      </c>
      <c r="P30" s="4">
        <v>191</v>
      </c>
      <c r="Q30" s="6">
        <f t="shared" si="8"/>
        <v>0.37601776461880088</v>
      </c>
      <c r="R30" s="6">
        <f t="shared" si="9"/>
        <v>0.230940044411547</v>
      </c>
      <c r="S30" s="6">
        <f t="shared" si="10"/>
        <v>0.32235381199111768</v>
      </c>
      <c r="T30" s="6">
        <f t="shared" si="11"/>
        <v>7.0688378978534416E-2</v>
      </c>
    </row>
    <row r="31" spans="1:20" x14ac:dyDescent="0.25">
      <c r="A31" s="1" t="s">
        <v>26</v>
      </c>
      <c r="B31" s="4">
        <f t="shared" si="0"/>
        <v>3239</v>
      </c>
      <c r="C31" s="4">
        <f t="shared" si="1"/>
        <v>1477</v>
      </c>
      <c r="D31" s="4">
        <f t="shared" si="2"/>
        <v>1762</v>
      </c>
      <c r="E31" s="4">
        <f t="shared" si="3"/>
        <v>3050</v>
      </c>
      <c r="F31" s="4">
        <v>1309</v>
      </c>
      <c r="G31" s="4">
        <v>1741</v>
      </c>
      <c r="H31" s="4">
        <f t="shared" si="4"/>
        <v>189</v>
      </c>
      <c r="I31" s="4">
        <v>168</v>
      </c>
      <c r="J31" s="4">
        <v>21</v>
      </c>
      <c r="K31" s="2">
        <f t="shared" si="5"/>
        <v>5.835134300710096</v>
      </c>
      <c r="L31" s="3">
        <f t="shared" si="6"/>
        <v>75.186674325100526</v>
      </c>
      <c r="M31" s="4">
        <v>1268</v>
      </c>
      <c r="N31" s="4">
        <v>695</v>
      </c>
      <c r="O31" s="4">
        <v>899</v>
      </c>
      <c r="P31" s="4">
        <v>188</v>
      </c>
      <c r="Q31" s="6">
        <f t="shared" si="8"/>
        <v>0.4157377049180328</v>
      </c>
      <c r="R31" s="6">
        <f t="shared" si="9"/>
        <v>0.22786885245901639</v>
      </c>
      <c r="S31" s="6">
        <f t="shared" si="10"/>
        <v>0.29475409836065575</v>
      </c>
      <c r="T31" s="6">
        <f t="shared" si="11"/>
        <v>6.163934426229508E-2</v>
      </c>
    </row>
    <row r="32" spans="1:20" x14ac:dyDescent="0.25">
      <c r="A32" s="1" t="s">
        <v>27</v>
      </c>
      <c r="B32" s="4">
        <f t="shared" si="0"/>
        <v>2262</v>
      </c>
      <c r="C32" s="4">
        <f t="shared" si="1"/>
        <v>1093</v>
      </c>
      <c r="D32" s="4">
        <f t="shared" si="2"/>
        <v>1169</v>
      </c>
      <c r="E32" s="4">
        <f t="shared" si="3"/>
        <v>2120</v>
      </c>
      <c r="F32" s="4">
        <v>972</v>
      </c>
      <c r="G32" s="4">
        <v>1148</v>
      </c>
      <c r="H32" s="4">
        <f t="shared" si="4"/>
        <v>142</v>
      </c>
      <c r="I32" s="4">
        <v>121</v>
      </c>
      <c r="J32" s="4">
        <v>21</v>
      </c>
      <c r="K32" s="2">
        <f t="shared" si="5"/>
        <v>6.2776304155614495</v>
      </c>
      <c r="L32" s="3">
        <f t="shared" si="6"/>
        <v>84.668989547038336</v>
      </c>
      <c r="M32" s="4">
        <v>799</v>
      </c>
      <c r="N32" s="4">
        <v>491</v>
      </c>
      <c r="O32" s="4">
        <v>639</v>
      </c>
      <c r="P32" s="4">
        <v>191</v>
      </c>
      <c r="Q32" s="6">
        <f t="shared" si="8"/>
        <v>0.37688679245283019</v>
      </c>
      <c r="R32" s="6">
        <f t="shared" si="9"/>
        <v>0.23160377358490566</v>
      </c>
      <c r="S32" s="6">
        <f t="shared" si="10"/>
        <v>0.30141509433962266</v>
      </c>
      <c r="T32" s="6">
        <f t="shared" si="11"/>
        <v>9.0094339622641503E-2</v>
      </c>
    </row>
    <row r="33" spans="1:20" x14ac:dyDescent="0.25">
      <c r="A33" s="1" t="s">
        <v>28</v>
      </c>
      <c r="B33" s="4">
        <f t="shared" si="0"/>
        <v>3869</v>
      </c>
      <c r="C33" s="4">
        <f t="shared" si="1"/>
        <v>1947</v>
      </c>
      <c r="D33" s="4">
        <f t="shared" si="2"/>
        <v>1922</v>
      </c>
      <c r="E33" s="4">
        <f t="shared" si="3"/>
        <v>3510</v>
      </c>
      <c r="F33" s="4">
        <v>1645</v>
      </c>
      <c r="G33" s="4">
        <v>1865</v>
      </c>
      <c r="H33" s="4">
        <f t="shared" si="4"/>
        <v>359</v>
      </c>
      <c r="I33" s="4">
        <v>302</v>
      </c>
      <c r="J33" s="4">
        <v>57</v>
      </c>
      <c r="K33" s="2">
        <f t="shared" si="5"/>
        <v>9.278883432411476</v>
      </c>
      <c r="L33" s="3">
        <f t="shared" si="6"/>
        <v>88.203753351206444</v>
      </c>
      <c r="M33" s="4">
        <v>1306</v>
      </c>
      <c r="N33" s="4">
        <v>864</v>
      </c>
      <c r="O33" s="4">
        <v>1112</v>
      </c>
      <c r="P33" s="4">
        <v>228</v>
      </c>
      <c r="Q33" s="6">
        <f t="shared" si="8"/>
        <v>0.37207977207977205</v>
      </c>
      <c r="R33" s="6">
        <f t="shared" si="9"/>
        <v>0.24615384615384617</v>
      </c>
      <c r="S33" s="6">
        <f t="shared" si="10"/>
        <v>0.31680911680911683</v>
      </c>
      <c r="T33" s="6">
        <f t="shared" si="11"/>
        <v>6.4957264957264962E-2</v>
      </c>
    </row>
    <row r="34" spans="1:20" x14ac:dyDescent="0.25">
      <c r="A34" s="1" t="s">
        <v>29</v>
      </c>
      <c r="B34" s="4">
        <f t="shared" si="0"/>
        <v>3509</v>
      </c>
      <c r="C34" s="4">
        <f t="shared" si="1"/>
        <v>1689</v>
      </c>
      <c r="D34" s="4">
        <f t="shared" si="2"/>
        <v>1820</v>
      </c>
      <c r="E34" s="4">
        <f t="shared" si="3"/>
        <v>3281</v>
      </c>
      <c r="F34" s="4">
        <v>1493</v>
      </c>
      <c r="G34" s="4">
        <v>1788</v>
      </c>
      <c r="H34" s="4">
        <f t="shared" si="4"/>
        <v>228</v>
      </c>
      <c r="I34" s="4">
        <v>196</v>
      </c>
      <c r="J34" s="4">
        <v>32</v>
      </c>
      <c r="K34" s="2">
        <f t="shared" si="5"/>
        <v>6.4975776574522648</v>
      </c>
      <c r="L34" s="3">
        <f t="shared" si="6"/>
        <v>83.501118568232656</v>
      </c>
      <c r="M34" s="4">
        <v>1265</v>
      </c>
      <c r="N34" s="4">
        <v>808</v>
      </c>
      <c r="O34" s="4">
        <v>964</v>
      </c>
      <c r="P34" s="4">
        <v>244</v>
      </c>
      <c r="Q34" s="6">
        <f t="shared" si="8"/>
        <v>0.38555318500457175</v>
      </c>
      <c r="R34" s="6">
        <f t="shared" si="9"/>
        <v>0.24626638220054861</v>
      </c>
      <c r="S34" s="6">
        <f t="shared" si="10"/>
        <v>0.29381286193233769</v>
      </c>
      <c r="T34" s="6">
        <f t="shared" si="11"/>
        <v>7.4367570862541907E-2</v>
      </c>
    </row>
    <row r="35" spans="1:20" x14ac:dyDescent="0.25">
      <c r="A35" s="1" t="s">
        <v>30</v>
      </c>
      <c r="B35" s="4">
        <f t="shared" si="0"/>
        <v>2946</v>
      </c>
      <c r="C35" s="4">
        <f t="shared" si="1"/>
        <v>1396</v>
      </c>
      <c r="D35" s="4">
        <f t="shared" si="2"/>
        <v>1550</v>
      </c>
      <c r="E35" s="4">
        <f t="shared" si="3"/>
        <v>2756</v>
      </c>
      <c r="F35" s="4">
        <v>1236</v>
      </c>
      <c r="G35" s="4">
        <v>1520</v>
      </c>
      <c r="H35" s="4">
        <f t="shared" si="4"/>
        <v>190</v>
      </c>
      <c r="I35" s="4">
        <v>160</v>
      </c>
      <c r="J35" s="4">
        <v>30</v>
      </c>
      <c r="K35" s="2">
        <f t="shared" si="5"/>
        <v>6.4494229463679567</v>
      </c>
      <c r="L35" s="3">
        <f t="shared" si="6"/>
        <v>81.315789473684205</v>
      </c>
      <c r="M35" s="4">
        <v>1065</v>
      </c>
      <c r="N35" s="4">
        <v>654</v>
      </c>
      <c r="O35" s="4">
        <v>886</v>
      </c>
      <c r="P35" s="4">
        <v>151</v>
      </c>
      <c r="Q35" s="6">
        <f t="shared" si="8"/>
        <v>0.38642960812772131</v>
      </c>
      <c r="R35" s="6">
        <f t="shared" si="9"/>
        <v>0.23730043541364296</v>
      </c>
      <c r="S35" s="6">
        <f t="shared" si="10"/>
        <v>0.32148040638606679</v>
      </c>
      <c r="T35" s="6">
        <f t="shared" si="11"/>
        <v>5.4789550072568943E-2</v>
      </c>
    </row>
    <row r="36" spans="1:20" x14ac:dyDescent="0.25">
      <c r="A36" s="1" t="s">
        <v>31</v>
      </c>
      <c r="B36" s="4">
        <f t="shared" si="0"/>
        <v>3332</v>
      </c>
      <c r="C36" s="4">
        <f t="shared" si="1"/>
        <v>1622</v>
      </c>
      <c r="D36" s="4">
        <f t="shared" si="2"/>
        <v>1710</v>
      </c>
      <c r="E36" s="4">
        <f t="shared" si="3"/>
        <v>3119</v>
      </c>
      <c r="F36" s="4">
        <v>1430</v>
      </c>
      <c r="G36" s="4">
        <v>1689</v>
      </c>
      <c r="H36" s="4">
        <f t="shared" si="4"/>
        <v>213</v>
      </c>
      <c r="I36" s="4">
        <v>192</v>
      </c>
      <c r="J36" s="4">
        <v>21</v>
      </c>
      <c r="K36" s="2">
        <f t="shared" si="5"/>
        <v>6.3925570228091244</v>
      </c>
      <c r="L36" s="3">
        <f t="shared" si="6"/>
        <v>84.665482534043818</v>
      </c>
      <c r="M36" s="4">
        <v>1237</v>
      </c>
      <c r="N36" s="4">
        <v>798</v>
      </c>
      <c r="O36" s="4">
        <v>911</v>
      </c>
      <c r="P36" s="4">
        <v>173</v>
      </c>
      <c r="Q36" s="6">
        <f t="shared" si="8"/>
        <v>0.39660147483167679</v>
      </c>
      <c r="R36" s="6">
        <f t="shared" si="9"/>
        <v>0.25585123436999035</v>
      </c>
      <c r="S36" s="6">
        <f t="shared" si="10"/>
        <v>0.29208079512664314</v>
      </c>
      <c r="T36" s="6">
        <f t="shared" si="11"/>
        <v>5.5466495671689646E-2</v>
      </c>
    </row>
    <row r="37" spans="1:20" x14ac:dyDescent="0.25">
      <c r="A37" s="1" t="s">
        <v>32</v>
      </c>
      <c r="B37" s="4">
        <f t="shared" si="0"/>
        <v>2645</v>
      </c>
      <c r="C37" s="4">
        <f t="shared" si="1"/>
        <v>1220</v>
      </c>
      <c r="D37" s="4">
        <f t="shared" si="2"/>
        <v>1425</v>
      </c>
      <c r="E37" s="4">
        <f t="shared" si="3"/>
        <v>2423</v>
      </c>
      <c r="F37" s="4">
        <v>1029</v>
      </c>
      <c r="G37" s="4">
        <v>1394</v>
      </c>
      <c r="H37" s="4">
        <f t="shared" si="4"/>
        <v>222</v>
      </c>
      <c r="I37" s="4">
        <v>191</v>
      </c>
      <c r="J37" s="4">
        <v>31</v>
      </c>
      <c r="K37" s="2">
        <f t="shared" si="5"/>
        <v>8.3931947069943291</v>
      </c>
      <c r="L37" s="3">
        <f t="shared" si="6"/>
        <v>73.816355810616926</v>
      </c>
      <c r="M37" s="4">
        <v>908</v>
      </c>
      <c r="N37" s="4">
        <v>589</v>
      </c>
      <c r="O37" s="4">
        <v>765</v>
      </c>
      <c r="P37" s="4">
        <v>161</v>
      </c>
      <c r="Q37" s="6">
        <f t="shared" si="8"/>
        <v>0.37474205530334298</v>
      </c>
      <c r="R37" s="6">
        <f t="shared" si="9"/>
        <v>0.2430870821295914</v>
      </c>
      <c r="S37" s="6">
        <f t="shared" si="10"/>
        <v>0.31572430870821294</v>
      </c>
      <c r="T37" s="6">
        <f t="shared" si="11"/>
        <v>6.6446553858852661E-2</v>
      </c>
    </row>
    <row r="38" spans="1:20" x14ac:dyDescent="0.25">
      <c r="A38" s="1" t="s">
        <v>33</v>
      </c>
      <c r="B38" s="4">
        <f t="shared" si="0"/>
        <v>3539</v>
      </c>
      <c r="C38" s="4">
        <f t="shared" si="1"/>
        <v>1740</v>
      </c>
      <c r="D38" s="4">
        <f t="shared" si="2"/>
        <v>1799</v>
      </c>
      <c r="E38" s="4">
        <f t="shared" si="3"/>
        <v>3292</v>
      </c>
      <c r="F38" s="4">
        <v>1519</v>
      </c>
      <c r="G38" s="4">
        <v>1773</v>
      </c>
      <c r="H38" s="4">
        <f t="shared" si="4"/>
        <v>247</v>
      </c>
      <c r="I38" s="4">
        <v>221</v>
      </c>
      <c r="J38" s="4">
        <v>26</v>
      </c>
      <c r="K38" s="2">
        <f t="shared" si="5"/>
        <v>6.9793727041537164</v>
      </c>
      <c r="L38" s="3">
        <f t="shared" si="6"/>
        <v>85.673998871968422</v>
      </c>
      <c r="M38" s="4">
        <v>1305</v>
      </c>
      <c r="N38" s="4">
        <v>833</v>
      </c>
      <c r="O38" s="4">
        <v>936</v>
      </c>
      <c r="P38" s="4">
        <v>218</v>
      </c>
      <c r="Q38" s="6">
        <f t="shared" si="8"/>
        <v>0.39641555285540703</v>
      </c>
      <c r="R38" s="6">
        <f t="shared" si="9"/>
        <v>0.25303766707168895</v>
      </c>
      <c r="S38" s="6">
        <f t="shared" si="10"/>
        <v>0.28432563791008503</v>
      </c>
      <c r="T38" s="6">
        <f t="shared" si="11"/>
        <v>6.6221142162818949E-2</v>
      </c>
    </row>
    <row r="39" spans="1:20" x14ac:dyDescent="0.25">
      <c r="A39" s="1" t="s">
        <v>34</v>
      </c>
      <c r="B39" s="4">
        <f t="shared" si="0"/>
        <v>3385</v>
      </c>
      <c r="C39" s="4">
        <f t="shared" si="1"/>
        <v>1756</v>
      </c>
      <c r="D39" s="4">
        <f t="shared" si="2"/>
        <v>1629</v>
      </c>
      <c r="E39" s="4">
        <f t="shared" si="3"/>
        <v>2991</v>
      </c>
      <c r="F39" s="4">
        <v>1418</v>
      </c>
      <c r="G39" s="4">
        <v>1573</v>
      </c>
      <c r="H39" s="4">
        <f t="shared" si="4"/>
        <v>394</v>
      </c>
      <c r="I39" s="4">
        <v>338</v>
      </c>
      <c r="J39" s="4">
        <v>56</v>
      </c>
      <c r="K39" s="2">
        <f t="shared" si="5"/>
        <v>11.639586410635156</v>
      </c>
      <c r="L39" s="3">
        <f t="shared" si="6"/>
        <v>90.146217418944701</v>
      </c>
      <c r="M39" s="4">
        <v>1080</v>
      </c>
      <c r="N39" s="4">
        <v>833</v>
      </c>
      <c r="O39" s="4">
        <v>920</v>
      </c>
      <c r="P39" s="4">
        <v>158</v>
      </c>
      <c r="Q39" s="6">
        <f t="shared" si="8"/>
        <v>0.36108324974924777</v>
      </c>
      <c r="R39" s="6">
        <f t="shared" si="9"/>
        <v>0.27850217318622533</v>
      </c>
      <c r="S39" s="6">
        <f t="shared" si="10"/>
        <v>0.30758943497158142</v>
      </c>
      <c r="T39" s="6">
        <f t="shared" si="11"/>
        <v>5.2825142092945504E-2</v>
      </c>
    </row>
    <row r="40" spans="1:20" x14ac:dyDescent="0.25">
      <c r="A40" s="1" t="s">
        <v>35</v>
      </c>
      <c r="B40" s="4">
        <f t="shared" si="0"/>
        <v>2852</v>
      </c>
      <c r="C40" s="4">
        <f t="shared" si="1"/>
        <v>1570</v>
      </c>
      <c r="D40" s="4">
        <f t="shared" si="2"/>
        <v>1282</v>
      </c>
      <c r="E40" s="4">
        <f t="shared" si="3"/>
        <v>2455</v>
      </c>
      <c r="F40" s="4">
        <v>1209</v>
      </c>
      <c r="G40" s="4">
        <v>1246</v>
      </c>
      <c r="H40" s="4">
        <f t="shared" si="4"/>
        <v>397</v>
      </c>
      <c r="I40" s="4">
        <v>361</v>
      </c>
      <c r="J40" s="4">
        <v>36</v>
      </c>
      <c r="K40" s="2">
        <f t="shared" si="5"/>
        <v>13.920056100981768</v>
      </c>
      <c r="L40" s="3">
        <f t="shared" si="6"/>
        <v>97.030497592295347</v>
      </c>
      <c r="M40" s="4">
        <v>846</v>
      </c>
      <c r="N40" s="4">
        <v>585</v>
      </c>
      <c r="O40" s="4">
        <v>860</v>
      </c>
      <c r="P40" s="4">
        <v>164</v>
      </c>
      <c r="Q40" s="6">
        <f t="shared" si="8"/>
        <v>0.3446028513238289</v>
      </c>
      <c r="R40" s="6">
        <f t="shared" si="9"/>
        <v>0.23828920570264767</v>
      </c>
      <c r="S40" s="6">
        <f t="shared" si="10"/>
        <v>0.35030549898167007</v>
      </c>
      <c r="T40" s="6">
        <f t="shared" si="11"/>
        <v>6.6802443991853366E-2</v>
      </c>
    </row>
    <row r="41" spans="1:20" x14ac:dyDescent="0.25">
      <c r="A41" s="1" t="s">
        <v>36</v>
      </c>
      <c r="B41" s="4">
        <f t="shared" si="0"/>
        <v>3211</v>
      </c>
      <c r="C41" s="4">
        <f t="shared" si="1"/>
        <v>1729</v>
      </c>
      <c r="D41" s="4">
        <f t="shared" si="2"/>
        <v>1482</v>
      </c>
      <c r="E41" s="4">
        <f t="shared" si="3"/>
        <v>2726</v>
      </c>
      <c r="F41" s="4">
        <v>1290</v>
      </c>
      <c r="G41" s="4">
        <v>1436</v>
      </c>
      <c r="H41" s="4">
        <f t="shared" si="4"/>
        <v>485</v>
      </c>
      <c r="I41" s="4">
        <v>439</v>
      </c>
      <c r="J41" s="4">
        <v>46</v>
      </c>
      <c r="K41" s="2">
        <f t="shared" si="5"/>
        <v>15.104328869511056</v>
      </c>
      <c r="L41" s="3">
        <f t="shared" si="6"/>
        <v>89.832869080779943</v>
      </c>
      <c r="M41" s="4">
        <v>1010</v>
      </c>
      <c r="N41" s="4">
        <v>640</v>
      </c>
      <c r="O41" s="4">
        <v>859</v>
      </c>
      <c r="P41" s="4">
        <v>217</v>
      </c>
      <c r="Q41" s="6">
        <f t="shared" si="8"/>
        <v>0.37050623624358031</v>
      </c>
      <c r="R41" s="6">
        <f t="shared" si="9"/>
        <v>0.23477622890682318</v>
      </c>
      <c r="S41" s="6">
        <f t="shared" si="10"/>
        <v>0.31511371973587676</v>
      </c>
      <c r="T41" s="6">
        <f t="shared" si="11"/>
        <v>7.9603815113719736E-2</v>
      </c>
    </row>
    <row r="42" spans="1:20" x14ac:dyDescent="0.25">
      <c r="A42" s="1" t="s">
        <v>37</v>
      </c>
      <c r="B42" s="4">
        <f t="shared" si="0"/>
        <v>3317</v>
      </c>
      <c r="C42" s="4">
        <f t="shared" si="1"/>
        <v>1705</v>
      </c>
      <c r="D42" s="4">
        <f t="shared" si="2"/>
        <v>1612</v>
      </c>
      <c r="E42" s="4">
        <f t="shared" si="3"/>
        <v>3188</v>
      </c>
      <c r="F42" s="4">
        <v>1596</v>
      </c>
      <c r="G42" s="4">
        <v>1592</v>
      </c>
      <c r="H42" s="4">
        <f t="shared" si="4"/>
        <v>129</v>
      </c>
      <c r="I42" s="4">
        <v>109</v>
      </c>
      <c r="J42" s="4">
        <v>20</v>
      </c>
      <c r="K42" s="2">
        <f t="shared" si="5"/>
        <v>3.8890563762435937</v>
      </c>
      <c r="L42" s="3">
        <f t="shared" si="6"/>
        <v>100.25125628140702</v>
      </c>
      <c r="M42" s="4">
        <v>1214</v>
      </c>
      <c r="N42" s="4">
        <v>947</v>
      </c>
      <c r="O42" s="4">
        <v>856</v>
      </c>
      <c r="P42" s="4">
        <v>171</v>
      </c>
      <c r="Q42" s="6">
        <f t="shared" si="8"/>
        <v>0.38080301129234628</v>
      </c>
      <c r="R42" s="6">
        <f t="shared" si="9"/>
        <v>0.29705144291091595</v>
      </c>
      <c r="S42" s="6">
        <f t="shared" si="10"/>
        <v>0.2685069008782936</v>
      </c>
      <c r="T42" s="6">
        <f t="shared" si="11"/>
        <v>5.3638644918444167E-2</v>
      </c>
    </row>
    <row r="43" spans="1:20" x14ac:dyDescent="0.25">
      <c r="A43" s="1" t="s">
        <v>38</v>
      </c>
      <c r="B43" s="4">
        <f t="shared" si="0"/>
        <v>3445</v>
      </c>
      <c r="C43" s="4">
        <f t="shared" si="1"/>
        <v>1786</v>
      </c>
      <c r="D43" s="4">
        <f t="shared" si="2"/>
        <v>1659</v>
      </c>
      <c r="E43" s="4">
        <f t="shared" si="3"/>
        <v>3126</v>
      </c>
      <c r="F43" s="4">
        <v>1509</v>
      </c>
      <c r="G43" s="4">
        <v>1617</v>
      </c>
      <c r="H43" s="4">
        <f t="shared" si="4"/>
        <v>319</v>
      </c>
      <c r="I43" s="4">
        <v>277</v>
      </c>
      <c r="J43" s="4">
        <v>42</v>
      </c>
      <c r="K43" s="2">
        <f t="shared" si="5"/>
        <v>9.2597968069666177</v>
      </c>
      <c r="L43" s="3">
        <f t="shared" si="6"/>
        <v>93.320964749536174</v>
      </c>
      <c r="M43" s="4">
        <v>1168</v>
      </c>
      <c r="N43" s="4">
        <v>714</v>
      </c>
      <c r="O43" s="4">
        <v>1030</v>
      </c>
      <c r="P43" s="4">
        <v>214</v>
      </c>
      <c r="Q43" s="6">
        <f t="shared" si="8"/>
        <v>0.37364043506078054</v>
      </c>
      <c r="R43" s="6">
        <f t="shared" si="9"/>
        <v>0.22840690978886757</v>
      </c>
      <c r="S43" s="6">
        <f t="shared" si="10"/>
        <v>0.32949456174024311</v>
      </c>
      <c r="T43" s="6">
        <f t="shared" si="11"/>
        <v>6.8458093410108764E-2</v>
      </c>
    </row>
    <row r="44" spans="1:20" x14ac:dyDescent="0.25">
      <c r="A44" s="1" t="s">
        <v>39</v>
      </c>
      <c r="B44" s="4">
        <f t="shared" si="0"/>
        <v>3592</v>
      </c>
      <c r="C44" s="4">
        <f t="shared" si="1"/>
        <v>1817</v>
      </c>
      <c r="D44" s="4">
        <f t="shared" si="2"/>
        <v>1775</v>
      </c>
      <c r="E44" s="4">
        <f t="shared" si="3"/>
        <v>3362</v>
      </c>
      <c r="F44" s="4">
        <v>1624</v>
      </c>
      <c r="G44" s="4">
        <v>1738</v>
      </c>
      <c r="H44" s="4">
        <f t="shared" si="4"/>
        <v>230</v>
      </c>
      <c r="I44" s="4">
        <v>193</v>
      </c>
      <c r="J44" s="4">
        <v>37</v>
      </c>
      <c r="K44" s="2">
        <f t="shared" si="5"/>
        <v>6.4031180400890868</v>
      </c>
      <c r="L44" s="3">
        <f t="shared" si="6"/>
        <v>93.440736478711159</v>
      </c>
      <c r="M44" s="4">
        <v>1209</v>
      </c>
      <c r="N44" s="4">
        <v>909</v>
      </c>
      <c r="O44" s="4">
        <v>1052</v>
      </c>
      <c r="P44" s="4">
        <v>192</v>
      </c>
      <c r="Q44" s="6">
        <f t="shared" si="8"/>
        <v>0.35960737656157049</v>
      </c>
      <c r="R44" s="6">
        <f t="shared" si="9"/>
        <v>0.27037477691850087</v>
      </c>
      <c r="S44" s="6">
        <f t="shared" si="10"/>
        <v>0.3129089827483641</v>
      </c>
      <c r="T44" s="6">
        <f t="shared" si="11"/>
        <v>5.7108863771564544E-2</v>
      </c>
    </row>
    <row r="45" spans="1:20" x14ac:dyDescent="0.25">
      <c r="A45" s="1" t="s">
        <v>40</v>
      </c>
      <c r="B45" s="4">
        <f t="shared" si="0"/>
        <v>3929</v>
      </c>
      <c r="C45" s="4">
        <f t="shared" si="1"/>
        <v>1977</v>
      </c>
      <c r="D45" s="4">
        <f t="shared" si="2"/>
        <v>1952</v>
      </c>
      <c r="E45" s="4">
        <f t="shared" si="3"/>
        <v>3564</v>
      </c>
      <c r="F45" s="4">
        <v>1685</v>
      </c>
      <c r="G45" s="4">
        <v>1879</v>
      </c>
      <c r="H45" s="4">
        <f t="shared" si="4"/>
        <v>365</v>
      </c>
      <c r="I45" s="4">
        <v>292</v>
      </c>
      <c r="J45" s="4">
        <v>73</v>
      </c>
      <c r="K45" s="2">
        <f t="shared" si="5"/>
        <v>9.2898956477475192</v>
      </c>
      <c r="L45" s="3">
        <f t="shared" si="6"/>
        <v>89.675359233634907</v>
      </c>
      <c r="M45" s="4">
        <v>1327</v>
      </c>
      <c r="N45" s="4">
        <v>906</v>
      </c>
      <c r="O45" s="4">
        <v>1112</v>
      </c>
      <c r="P45" s="4">
        <v>219</v>
      </c>
      <c r="Q45" s="6">
        <f t="shared" si="8"/>
        <v>0.372334455667789</v>
      </c>
      <c r="R45" s="6">
        <f t="shared" si="9"/>
        <v>0.25420875420875422</v>
      </c>
      <c r="S45" s="6">
        <f t="shared" si="10"/>
        <v>0.31200897867564537</v>
      </c>
      <c r="T45" s="6">
        <f t="shared" si="11"/>
        <v>6.1447811447811446E-2</v>
      </c>
    </row>
    <row r="46" spans="1:20" x14ac:dyDescent="0.25">
      <c r="A46" s="1" t="s">
        <v>41</v>
      </c>
      <c r="B46" s="4">
        <f t="shared" si="0"/>
        <v>2575</v>
      </c>
      <c r="C46" s="4">
        <f t="shared" si="1"/>
        <v>1288</v>
      </c>
      <c r="D46" s="4">
        <f t="shared" si="2"/>
        <v>1287</v>
      </c>
      <c r="E46" s="4">
        <f t="shared" si="3"/>
        <v>2315</v>
      </c>
      <c r="F46" s="4">
        <v>1075</v>
      </c>
      <c r="G46" s="4">
        <v>1240</v>
      </c>
      <c r="H46" s="4">
        <f t="shared" si="4"/>
        <v>260</v>
      </c>
      <c r="I46" s="4">
        <v>213</v>
      </c>
      <c r="J46" s="4">
        <v>47</v>
      </c>
      <c r="K46" s="2">
        <f t="shared" si="5"/>
        <v>10.097087378640776</v>
      </c>
      <c r="L46" s="3">
        <f t="shared" si="6"/>
        <v>86.693548387096769</v>
      </c>
      <c r="M46" s="4">
        <v>844</v>
      </c>
      <c r="N46" s="4">
        <v>505</v>
      </c>
      <c r="O46" s="4">
        <v>787</v>
      </c>
      <c r="P46" s="4">
        <v>179</v>
      </c>
      <c r="Q46" s="6">
        <f t="shared" si="8"/>
        <v>0.36457883369330452</v>
      </c>
      <c r="R46" s="6">
        <f t="shared" si="9"/>
        <v>0.21814254859611232</v>
      </c>
      <c r="S46" s="6">
        <f t="shared" si="10"/>
        <v>0.33995680345572354</v>
      </c>
      <c r="T46" s="6">
        <f t="shared" si="11"/>
        <v>7.7321814254859608E-2</v>
      </c>
    </row>
    <row r="47" spans="1:20" x14ac:dyDescent="0.25">
      <c r="A47" s="1" t="s">
        <v>42</v>
      </c>
      <c r="B47" s="4">
        <f t="shared" si="0"/>
        <v>2298</v>
      </c>
      <c r="C47" s="4">
        <f t="shared" si="1"/>
        <v>1213</v>
      </c>
      <c r="D47" s="4">
        <f t="shared" si="2"/>
        <v>1085</v>
      </c>
      <c r="E47" s="4">
        <f t="shared" si="3"/>
        <v>1977</v>
      </c>
      <c r="F47" s="4">
        <v>934</v>
      </c>
      <c r="G47" s="4">
        <v>1043</v>
      </c>
      <c r="H47" s="4">
        <f t="shared" si="4"/>
        <v>321</v>
      </c>
      <c r="I47" s="4">
        <v>279</v>
      </c>
      <c r="J47" s="4">
        <v>42</v>
      </c>
      <c r="K47" s="2">
        <f t="shared" si="5"/>
        <v>13.968668407310705</v>
      </c>
      <c r="L47" s="3">
        <f t="shared" si="6"/>
        <v>89.54937679769894</v>
      </c>
      <c r="M47" s="4">
        <v>766</v>
      </c>
      <c r="N47" s="4">
        <v>445</v>
      </c>
      <c r="O47" s="4">
        <v>657</v>
      </c>
      <c r="P47" s="4">
        <v>109</v>
      </c>
      <c r="Q47" s="6">
        <f t="shared" si="8"/>
        <v>0.38745574102175012</v>
      </c>
      <c r="R47" s="6">
        <f t="shared" si="9"/>
        <v>0.22508851795649976</v>
      </c>
      <c r="S47" s="6">
        <f t="shared" si="10"/>
        <v>0.33232169954476481</v>
      </c>
      <c r="T47" s="6">
        <f t="shared" si="11"/>
        <v>5.5134041476985328E-2</v>
      </c>
    </row>
    <row r="48" spans="1:20" x14ac:dyDescent="0.25">
      <c r="A48" s="1" t="s">
        <v>43</v>
      </c>
      <c r="B48" s="4">
        <f t="shared" si="0"/>
        <v>2998</v>
      </c>
      <c r="C48" s="4">
        <f t="shared" si="1"/>
        <v>1660</v>
      </c>
      <c r="D48" s="4">
        <f t="shared" si="2"/>
        <v>1338</v>
      </c>
      <c r="E48" s="4">
        <f t="shared" si="3"/>
        <v>2474</v>
      </c>
      <c r="F48" s="4">
        <v>1211</v>
      </c>
      <c r="G48" s="4">
        <v>1263</v>
      </c>
      <c r="H48" s="4">
        <f t="shared" si="4"/>
        <v>524</v>
      </c>
      <c r="I48" s="4">
        <v>449</v>
      </c>
      <c r="J48" s="4">
        <v>75</v>
      </c>
      <c r="K48" s="2">
        <f t="shared" si="5"/>
        <v>17.478318879252836</v>
      </c>
      <c r="L48" s="3">
        <f t="shared" si="6"/>
        <v>95.882818685669051</v>
      </c>
      <c r="M48" s="4">
        <v>948</v>
      </c>
      <c r="N48" s="4">
        <v>612</v>
      </c>
      <c r="O48" s="4">
        <v>768</v>
      </c>
      <c r="P48" s="4">
        <v>146</v>
      </c>
      <c r="Q48" s="6">
        <f t="shared" si="8"/>
        <v>0.3831851253031528</v>
      </c>
      <c r="R48" s="6">
        <f t="shared" si="9"/>
        <v>0.24737267582861763</v>
      </c>
      <c r="S48" s="6">
        <f t="shared" si="10"/>
        <v>0.31042845594179469</v>
      </c>
      <c r="T48" s="6">
        <f t="shared" si="11"/>
        <v>5.9013742926434923E-2</v>
      </c>
    </row>
    <row r="49" spans="1:20" x14ac:dyDescent="0.25">
      <c r="A49" s="1" t="s">
        <v>44</v>
      </c>
      <c r="B49" s="4">
        <f t="shared" si="0"/>
        <v>2746</v>
      </c>
      <c r="C49" s="4">
        <f t="shared" si="1"/>
        <v>1443</v>
      </c>
      <c r="D49" s="4">
        <f t="shared" si="2"/>
        <v>1303</v>
      </c>
      <c r="E49" s="4">
        <f t="shared" si="3"/>
        <v>2390</v>
      </c>
      <c r="F49" s="4">
        <v>1143</v>
      </c>
      <c r="G49" s="4">
        <v>1247</v>
      </c>
      <c r="H49" s="4">
        <f t="shared" si="4"/>
        <v>356</v>
      </c>
      <c r="I49" s="4">
        <v>300</v>
      </c>
      <c r="J49" s="4">
        <v>56</v>
      </c>
      <c r="K49" s="2">
        <f t="shared" si="5"/>
        <v>12.964311726147123</v>
      </c>
      <c r="L49" s="3">
        <f t="shared" si="6"/>
        <v>91.659983961507621</v>
      </c>
      <c r="M49" s="4">
        <v>790</v>
      </c>
      <c r="N49" s="4">
        <v>556</v>
      </c>
      <c r="O49" s="4">
        <v>869</v>
      </c>
      <c r="P49" s="4">
        <v>175</v>
      </c>
      <c r="Q49" s="6">
        <f t="shared" si="8"/>
        <v>0.33054393305439328</v>
      </c>
      <c r="R49" s="6">
        <f t="shared" si="9"/>
        <v>0.23263598326359833</v>
      </c>
      <c r="S49" s="6">
        <f t="shared" si="10"/>
        <v>0.36359832635983264</v>
      </c>
      <c r="T49" s="6">
        <f t="shared" si="11"/>
        <v>7.3221757322175729E-2</v>
      </c>
    </row>
    <row r="50" spans="1:20" x14ac:dyDescent="0.25">
      <c r="A50" s="1" t="s">
        <v>45</v>
      </c>
      <c r="B50" s="4">
        <f t="shared" si="0"/>
        <v>2274</v>
      </c>
      <c r="C50" s="4">
        <f t="shared" si="1"/>
        <v>1075</v>
      </c>
      <c r="D50" s="4">
        <f t="shared" si="2"/>
        <v>1199</v>
      </c>
      <c r="E50" s="4">
        <f t="shared" si="3"/>
        <v>2136</v>
      </c>
      <c r="F50" s="4">
        <v>954</v>
      </c>
      <c r="G50" s="4">
        <v>1182</v>
      </c>
      <c r="H50" s="4">
        <f t="shared" si="4"/>
        <v>138</v>
      </c>
      <c r="I50" s="4">
        <v>121</v>
      </c>
      <c r="J50" s="4">
        <v>17</v>
      </c>
      <c r="K50" s="2">
        <f t="shared" si="5"/>
        <v>6.0686015831134563</v>
      </c>
      <c r="L50" s="3">
        <f t="shared" si="6"/>
        <v>80.710659898477161</v>
      </c>
      <c r="M50" s="4">
        <v>702</v>
      </c>
      <c r="N50" s="4">
        <v>575</v>
      </c>
      <c r="O50" s="4">
        <v>745</v>
      </c>
      <c r="P50" s="4">
        <v>114</v>
      </c>
      <c r="Q50" s="6">
        <f t="shared" si="8"/>
        <v>0.32865168539325845</v>
      </c>
      <c r="R50" s="6">
        <f t="shared" si="9"/>
        <v>0.26919475655430714</v>
      </c>
      <c r="S50" s="6">
        <f t="shared" si="10"/>
        <v>0.34878277153558052</v>
      </c>
      <c r="T50" s="6">
        <f t="shared" si="11"/>
        <v>5.3370786516853931E-2</v>
      </c>
    </row>
    <row r="51" spans="1:20" x14ac:dyDescent="0.25">
      <c r="A51" s="1" t="s">
        <v>46</v>
      </c>
      <c r="B51" s="4">
        <f t="shared" si="0"/>
        <v>1861</v>
      </c>
      <c r="C51" s="4">
        <f t="shared" si="1"/>
        <v>930</v>
      </c>
      <c r="D51" s="4">
        <f t="shared" si="2"/>
        <v>931</v>
      </c>
      <c r="E51" s="4">
        <f t="shared" si="3"/>
        <v>1685</v>
      </c>
      <c r="F51" s="4">
        <v>778</v>
      </c>
      <c r="G51" s="4">
        <v>907</v>
      </c>
      <c r="H51" s="4">
        <f t="shared" si="4"/>
        <v>176</v>
      </c>
      <c r="I51" s="4">
        <v>152</v>
      </c>
      <c r="J51" s="4">
        <v>24</v>
      </c>
      <c r="K51" s="2">
        <f t="shared" si="5"/>
        <v>9.4572810317033849</v>
      </c>
      <c r="L51" s="3">
        <f t="shared" si="6"/>
        <v>85.777287761852264</v>
      </c>
      <c r="M51" s="4">
        <v>610</v>
      </c>
      <c r="N51" s="4">
        <v>450</v>
      </c>
      <c r="O51" s="4">
        <v>522</v>
      </c>
      <c r="P51" s="4">
        <v>103</v>
      </c>
      <c r="Q51" s="6">
        <f t="shared" si="8"/>
        <v>0.36201780415430268</v>
      </c>
      <c r="R51" s="6">
        <f t="shared" si="9"/>
        <v>0.26706231454005935</v>
      </c>
      <c r="S51" s="6">
        <f t="shared" si="10"/>
        <v>0.30979228486646887</v>
      </c>
      <c r="T51" s="6">
        <f t="shared" si="11"/>
        <v>6.1127596439169138E-2</v>
      </c>
    </row>
    <row r="52" spans="1:20" x14ac:dyDescent="0.25">
      <c r="A52" s="1" t="s">
        <v>47</v>
      </c>
      <c r="B52" s="4">
        <f t="shared" si="0"/>
        <v>4807</v>
      </c>
      <c r="C52" s="4">
        <f t="shared" si="1"/>
        <v>2529</v>
      </c>
      <c r="D52" s="4">
        <f t="shared" si="2"/>
        <v>2278</v>
      </c>
      <c r="E52" s="4">
        <f t="shared" si="3"/>
        <v>4097</v>
      </c>
      <c r="F52" s="4">
        <v>1938</v>
      </c>
      <c r="G52" s="4">
        <v>2159</v>
      </c>
      <c r="H52" s="4">
        <f t="shared" si="4"/>
        <v>710</v>
      </c>
      <c r="I52" s="4">
        <v>591</v>
      </c>
      <c r="J52" s="4">
        <v>119</v>
      </c>
      <c r="K52" s="2">
        <f t="shared" si="5"/>
        <v>14.77012689827335</v>
      </c>
      <c r="L52" s="3">
        <f t="shared" si="6"/>
        <v>89.763779527559052</v>
      </c>
      <c r="M52" s="4">
        <v>1437</v>
      </c>
      <c r="N52" s="4">
        <v>973</v>
      </c>
      <c r="O52" s="4">
        <v>1426</v>
      </c>
      <c r="P52" s="4">
        <v>261</v>
      </c>
      <c r="Q52" s="6">
        <f t="shared" si="8"/>
        <v>0.35074444715645592</v>
      </c>
      <c r="R52" s="6">
        <f t="shared" si="9"/>
        <v>0.2374908469611911</v>
      </c>
      <c r="S52" s="6">
        <f t="shared" si="10"/>
        <v>0.34805955577251646</v>
      </c>
      <c r="T52" s="6">
        <f t="shared" si="11"/>
        <v>6.3705150109836461E-2</v>
      </c>
    </row>
    <row r="53" spans="1:20" x14ac:dyDescent="0.25">
      <c r="A53" s="1" t="s">
        <v>48</v>
      </c>
      <c r="B53" s="4">
        <f t="shared" si="0"/>
        <v>4548</v>
      </c>
      <c r="C53" s="4">
        <f t="shared" si="1"/>
        <v>3029</v>
      </c>
      <c r="D53" s="4">
        <f t="shared" si="2"/>
        <v>1519</v>
      </c>
      <c r="E53" s="4">
        <f t="shared" si="3"/>
        <v>3453</v>
      </c>
      <c r="F53" s="4">
        <v>2022</v>
      </c>
      <c r="G53" s="4">
        <v>1431</v>
      </c>
      <c r="H53" s="4">
        <f t="shared" si="4"/>
        <v>1095</v>
      </c>
      <c r="I53" s="4">
        <v>1007</v>
      </c>
      <c r="J53" s="4">
        <v>88</v>
      </c>
      <c r="K53" s="2">
        <f t="shared" si="5"/>
        <v>24.07651715039578</v>
      </c>
      <c r="L53" s="3">
        <f t="shared" si="6"/>
        <v>141.29979035639414</v>
      </c>
      <c r="M53" s="4">
        <v>1020</v>
      </c>
      <c r="N53" s="4">
        <v>1144</v>
      </c>
      <c r="O53" s="4">
        <v>1144</v>
      </c>
      <c r="P53" s="4">
        <v>145</v>
      </c>
      <c r="Q53" s="6">
        <f t="shared" si="8"/>
        <v>0.29539530842745437</v>
      </c>
      <c r="R53" s="6">
        <f t="shared" si="9"/>
        <v>0.33130611062843907</v>
      </c>
      <c r="S53" s="6">
        <f t="shared" si="10"/>
        <v>0.33130611062843907</v>
      </c>
      <c r="T53" s="6">
        <f t="shared" si="11"/>
        <v>4.1992470315667538E-2</v>
      </c>
    </row>
    <row r="54" spans="1:20" x14ac:dyDescent="0.25">
      <c r="A54" s="1" t="s">
        <v>49</v>
      </c>
      <c r="B54" s="4">
        <f t="shared" si="0"/>
        <v>3813</v>
      </c>
      <c r="C54" s="4">
        <f t="shared" si="1"/>
        <v>2186</v>
      </c>
      <c r="D54" s="4">
        <f t="shared" si="2"/>
        <v>1627</v>
      </c>
      <c r="E54" s="4">
        <f t="shared" si="3"/>
        <v>3027</v>
      </c>
      <c r="F54" s="4">
        <v>1462</v>
      </c>
      <c r="G54" s="4">
        <v>1565</v>
      </c>
      <c r="H54" s="4">
        <f t="shared" si="4"/>
        <v>786</v>
      </c>
      <c r="I54" s="4">
        <v>724</v>
      </c>
      <c r="J54" s="4">
        <v>62</v>
      </c>
      <c r="K54" s="2">
        <f t="shared" si="5"/>
        <v>20.61369000786782</v>
      </c>
      <c r="L54" s="3">
        <f t="shared" si="6"/>
        <v>93.418530351437695</v>
      </c>
      <c r="M54" s="4">
        <v>1185</v>
      </c>
      <c r="N54" s="4">
        <v>775</v>
      </c>
      <c r="O54" s="4">
        <v>942</v>
      </c>
      <c r="P54" s="4">
        <v>125</v>
      </c>
      <c r="Q54" s="6">
        <f t="shared" si="8"/>
        <v>0.39147670961347869</v>
      </c>
      <c r="R54" s="6">
        <f t="shared" si="9"/>
        <v>0.2560290716881401</v>
      </c>
      <c r="S54" s="6">
        <f t="shared" si="10"/>
        <v>0.31119920713577798</v>
      </c>
      <c r="T54" s="6">
        <f t="shared" si="11"/>
        <v>4.1295011562603234E-2</v>
      </c>
    </row>
    <row r="55" spans="1:20" x14ac:dyDescent="0.25">
      <c r="A55" s="1" t="s">
        <v>50</v>
      </c>
      <c r="B55" s="4">
        <f t="shared" si="0"/>
        <v>6188</v>
      </c>
      <c r="C55" s="4">
        <f t="shared" si="1"/>
        <v>4233</v>
      </c>
      <c r="D55" s="4">
        <f t="shared" si="2"/>
        <v>1955</v>
      </c>
      <c r="E55" s="4">
        <f t="shared" si="3"/>
        <v>4756</v>
      </c>
      <c r="F55" s="4">
        <v>2972</v>
      </c>
      <c r="G55" s="4">
        <v>1784</v>
      </c>
      <c r="H55" s="4">
        <f t="shared" si="4"/>
        <v>1432</v>
      </c>
      <c r="I55" s="4">
        <v>1261</v>
      </c>
      <c r="J55" s="4">
        <v>171</v>
      </c>
      <c r="K55" s="2">
        <f t="shared" si="5"/>
        <v>23.141564318034906</v>
      </c>
      <c r="L55" s="3">
        <f t="shared" si="6"/>
        <v>166.59192825112109</v>
      </c>
      <c r="M55" s="4">
        <v>1207</v>
      </c>
      <c r="N55" s="4">
        <v>1937</v>
      </c>
      <c r="O55" s="4">
        <v>1432</v>
      </c>
      <c r="P55" s="4">
        <v>180</v>
      </c>
      <c r="Q55" s="6">
        <f t="shared" si="8"/>
        <v>0.25378469301934398</v>
      </c>
      <c r="R55" s="6">
        <f t="shared" si="9"/>
        <v>0.40727502102607233</v>
      </c>
      <c r="S55" s="6">
        <f t="shared" si="10"/>
        <v>0.30109335576114382</v>
      </c>
      <c r="T55" s="6">
        <f t="shared" si="11"/>
        <v>3.7846930193439862E-2</v>
      </c>
    </row>
    <row r="56" spans="1:20" x14ac:dyDescent="0.25">
      <c r="A56" s="1" t="s">
        <v>51</v>
      </c>
      <c r="B56" s="4">
        <f t="shared" si="0"/>
        <v>3051</v>
      </c>
      <c r="C56" s="4">
        <f t="shared" si="1"/>
        <v>1914</v>
      </c>
      <c r="D56" s="4">
        <f t="shared" si="2"/>
        <v>1137</v>
      </c>
      <c r="E56" s="4">
        <f t="shared" si="3"/>
        <v>2205</v>
      </c>
      <c r="F56" s="4">
        <v>1139</v>
      </c>
      <c r="G56" s="4">
        <v>1066</v>
      </c>
      <c r="H56" s="4">
        <f t="shared" si="4"/>
        <v>846</v>
      </c>
      <c r="I56" s="4">
        <v>775</v>
      </c>
      <c r="J56" s="4">
        <v>71</v>
      </c>
      <c r="K56" s="2">
        <f t="shared" si="5"/>
        <v>27.728613569321535</v>
      </c>
      <c r="L56" s="3">
        <f t="shared" si="6"/>
        <v>106.84803001876173</v>
      </c>
      <c r="M56" s="4">
        <v>763</v>
      </c>
      <c r="N56" s="4">
        <v>545</v>
      </c>
      <c r="O56" s="4">
        <v>787</v>
      </c>
      <c r="P56" s="4">
        <v>110</v>
      </c>
      <c r="Q56" s="6">
        <f t="shared" si="8"/>
        <v>0.34603174603174602</v>
      </c>
      <c r="R56" s="6">
        <f t="shared" si="9"/>
        <v>0.2471655328798186</v>
      </c>
      <c r="S56" s="6">
        <f t="shared" si="10"/>
        <v>0.35691609977324262</v>
      </c>
      <c r="T56" s="6">
        <f t="shared" si="11"/>
        <v>4.9886621315192746E-2</v>
      </c>
    </row>
    <row r="57" spans="1:20" x14ac:dyDescent="0.25">
      <c r="A57" s="1" t="s">
        <v>52</v>
      </c>
      <c r="B57" s="4">
        <f t="shared" si="0"/>
        <v>3507</v>
      </c>
      <c r="C57" s="4">
        <f t="shared" si="1"/>
        <v>1878</v>
      </c>
      <c r="D57" s="4">
        <f t="shared" si="2"/>
        <v>1629</v>
      </c>
      <c r="E57" s="4">
        <f t="shared" si="3"/>
        <v>3101</v>
      </c>
      <c r="F57" s="4">
        <v>1533</v>
      </c>
      <c r="G57" s="4">
        <v>1568</v>
      </c>
      <c r="H57" s="4">
        <f t="shared" si="4"/>
        <v>406</v>
      </c>
      <c r="I57" s="4">
        <v>345</v>
      </c>
      <c r="J57" s="4">
        <v>61</v>
      </c>
      <c r="K57" s="2">
        <f t="shared" si="5"/>
        <v>11.57684630738523</v>
      </c>
      <c r="L57" s="3">
        <f t="shared" si="6"/>
        <v>97.767857142857139</v>
      </c>
      <c r="M57" s="4">
        <v>1225</v>
      </c>
      <c r="N57" s="4">
        <v>793</v>
      </c>
      <c r="O57" s="4">
        <v>920</v>
      </c>
      <c r="P57" s="4">
        <v>163</v>
      </c>
      <c r="Q57" s="6">
        <f t="shared" si="8"/>
        <v>0.39503386004514673</v>
      </c>
      <c r="R57" s="6">
        <f t="shared" si="9"/>
        <v>0.25572396001289904</v>
      </c>
      <c r="S57" s="6">
        <f t="shared" si="10"/>
        <v>0.29667849080941633</v>
      </c>
      <c r="T57" s="6">
        <f t="shared" si="11"/>
        <v>5.2563689132537894E-2</v>
      </c>
    </row>
    <row r="58" spans="1:20" x14ac:dyDescent="0.25">
      <c r="A58" s="1" t="s">
        <v>53</v>
      </c>
      <c r="B58" s="4">
        <f t="shared" si="0"/>
        <v>4475</v>
      </c>
      <c r="C58" s="4">
        <f t="shared" si="1"/>
        <v>2613</v>
      </c>
      <c r="D58" s="4">
        <f t="shared" si="2"/>
        <v>1862</v>
      </c>
      <c r="E58" s="4">
        <f t="shared" si="3"/>
        <v>3656</v>
      </c>
      <c r="F58" s="4">
        <v>1906</v>
      </c>
      <c r="G58" s="4">
        <v>1750</v>
      </c>
      <c r="H58" s="4">
        <f t="shared" si="4"/>
        <v>819</v>
      </c>
      <c r="I58" s="4">
        <v>707</v>
      </c>
      <c r="J58" s="4">
        <v>112</v>
      </c>
      <c r="K58" s="2">
        <f t="shared" si="5"/>
        <v>18.30167597765363</v>
      </c>
      <c r="L58" s="3">
        <f t="shared" si="6"/>
        <v>108.91428571428573</v>
      </c>
      <c r="M58" s="4">
        <v>1366</v>
      </c>
      <c r="N58" s="4">
        <v>935</v>
      </c>
      <c r="O58" s="4">
        <v>1184</v>
      </c>
      <c r="P58" s="4">
        <v>171</v>
      </c>
      <c r="Q58" s="6">
        <f t="shared" si="8"/>
        <v>0.37363238512035013</v>
      </c>
      <c r="R58" s="6">
        <f t="shared" si="9"/>
        <v>0.25574398249452956</v>
      </c>
      <c r="S58" s="6">
        <f t="shared" si="10"/>
        <v>0.32385120350109409</v>
      </c>
      <c r="T58" s="6">
        <f t="shared" si="11"/>
        <v>4.677242888402626E-2</v>
      </c>
    </row>
    <row r="59" spans="1:20" x14ac:dyDescent="0.25">
      <c r="A59" s="1" t="s">
        <v>54</v>
      </c>
      <c r="B59" s="4">
        <f t="shared" si="0"/>
        <v>3117</v>
      </c>
      <c r="C59" s="4">
        <f t="shared" si="1"/>
        <v>1785</v>
      </c>
      <c r="D59" s="4">
        <f t="shared" si="2"/>
        <v>1332</v>
      </c>
      <c r="E59" s="4">
        <f t="shared" si="3"/>
        <v>2487</v>
      </c>
      <c r="F59" s="4">
        <v>1210</v>
      </c>
      <c r="G59" s="4">
        <v>1277</v>
      </c>
      <c r="H59" s="4">
        <f t="shared" si="4"/>
        <v>630</v>
      </c>
      <c r="I59" s="4">
        <v>575</v>
      </c>
      <c r="J59" s="4">
        <v>55</v>
      </c>
      <c r="K59" s="2">
        <f t="shared" si="5"/>
        <v>20.211742059672762</v>
      </c>
      <c r="L59" s="3">
        <f t="shared" si="6"/>
        <v>94.753328112764294</v>
      </c>
      <c r="M59" s="4">
        <v>862</v>
      </c>
      <c r="N59" s="4">
        <v>665</v>
      </c>
      <c r="O59" s="4">
        <v>814</v>
      </c>
      <c r="P59" s="4">
        <v>146</v>
      </c>
      <c r="Q59" s="6">
        <f t="shared" si="8"/>
        <v>0.34660233212706071</v>
      </c>
      <c r="R59" s="6">
        <f t="shared" si="9"/>
        <v>0.26739043023723363</v>
      </c>
      <c r="S59" s="6">
        <f t="shared" si="10"/>
        <v>0.32730197024527541</v>
      </c>
      <c r="T59" s="6">
        <f t="shared" si="11"/>
        <v>5.8705267390430235E-2</v>
      </c>
    </row>
    <row r="60" spans="1:20" x14ac:dyDescent="0.25">
      <c r="A60" s="1" t="s">
        <v>55</v>
      </c>
      <c r="B60" s="4">
        <f t="shared" si="0"/>
        <v>3775</v>
      </c>
      <c r="C60" s="4">
        <f t="shared" si="1"/>
        <v>2197</v>
      </c>
      <c r="D60" s="4">
        <f t="shared" si="2"/>
        <v>1578</v>
      </c>
      <c r="E60" s="4">
        <f t="shared" si="3"/>
        <v>3101</v>
      </c>
      <c r="F60" s="4">
        <v>1554</v>
      </c>
      <c r="G60" s="4">
        <v>1547</v>
      </c>
      <c r="H60" s="4">
        <f t="shared" si="4"/>
        <v>674</v>
      </c>
      <c r="I60" s="4">
        <v>643</v>
      </c>
      <c r="J60" s="4">
        <v>31</v>
      </c>
      <c r="K60" s="2">
        <f t="shared" si="5"/>
        <v>17.85430463576159</v>
      </c>
      <c r="L60" s="3">
        <f t="shared" si="6"/>
        <v>100.4524886877828</v>
      </c>
      <c r="M60" s="4">
        <v>1166</v>
      </c>
      <c r="N60" s="4">
        <v>840</v>
      </c>
      <c r="O60" s="4">
        <v>909</v>
      </c>
      <c r="P60" s="4">
        <v>186</v>
      </c>
      <c r="Q60" s="6">
        <f t="shared" si="8"/>
        <v>0.37600773943889065</v>
      </c>
      <c r="R60" s="6">
        <f t="shared" si="9"/>
        <v>0.27088036117381492</v>
      </c>
      <c r="S60" s="6">
        <f t="shared" si="10"/>
        <v>0.29313124798452111</v>
      </c>
      <c r="T60" s="6">
        <f t="shared" si="11"/>
        <v>5.9980651402773297E-2</v>
      </c>
    </row>
    <row r="61" spans="1:20" x14ac:dyDescent="0.25">
      <c r="A61" s="1" t="s">
        <v>56</v>
      </c>
      <c r="B61" s="4">
        <f t="shared" si="0"/>
        <v>3536</v>
      </c>
      <c r="C61" s="4">
        <f t="shared" si="1"/>
        <v>1949</v>
      </c>
      <c r="D61" s="4">
        <f t="shared" si="2"/>
        <v>1587</v>
      </c>
      <c r="E61" s="4">
        <f t="shared" si="3"/>
        <v>2910</v>
      </c>
      <c r="F61" s="4">
        <v>1406</v>
      </c>
      <c r="G61" s="4">
        <v>1504</v>
      </c>
      <c r="H61" s="4">
        <f t="shared" si="4"/>
        <v>626</v>
      </c>
      <c r="I61" s="4">
        <v>543</v>
      </c>
      <c r="J61" s="4">
        <v>83</v>
      </c>
      <c r="K61" s="2">
        <f t="shared" si="5"/>
        <v>17.703619909502262</v>
      </c>
      <c r="L61" s="3">
        <f t="shared" si="6"/>
        <v>93.4840425531915</v>
      </c>
      <c r="M61" s="4">
        <v>1117</v>
      </c>
      <c r="N61" s="4">
        <v>692</v>
      </c>
      <c r="O61" s="4">
        <v>926</v>
      </c>
      <c r="P61" s="4">
        <v>175</v>
      </c>
      <c r="Q61" s="6">
        <f t="shared" si="8"/>
        <v>0.38384879725085913</v>
      </c>
      <c r="R61" s="6">
        <f t="shared" si="9"/>
        <v>0.23780068728522336</v>
      </c>
      <c r="S61" s="6">
        <f t="shared" si="10"/>
        <v>0.31821305841924397</v>
      </c>
      <c r="T61" s="6">
        <f t="shared" si="11"/>
        <v>6.0137457044673541E-2</v>
      </c>
    </row>
    <row r="62" spans="1:20" x14ac:dyDescent="0.25">
      <c r="A62" s="1" t="s">
        <v>57</v>
      </c>
      <c r="B62" s="4">
        <f t="shared" si="0"/>
        <v>1263</v>
      </c>
      <c r="C62" s="4">
        <f t="shared" si="1"/>
        <v>828</v>
      </c>
      <c r="D62" s="4">
        <f t="shared" si="2"/>
        <v>435</v>
      </c>
      <c r="E62" s="4">
        <f t="shared" si="3"/>
        <v>859</v>
      </c>
      <c r="F62" s="4">
        <v>471</v>
      </c>
      <c r="G62" s="4">
        <v>388</v>
      </c>
      <c r="H62" s="4">
        <f t="shared" si="4"/>
        <v>404</v>
      </c>
      <c r="I62" s="4">
        <v>357</v>
      </c>
      <c r="J62" s="4">
        <v>47</v>
      </c>
      <c r="K62" s="2">
        <f t="shared" si="5"/>
        <v>31.987331749802056</v>
      </c>
      <c r="L62" s="3">
        <f t="shared" si="6"/>
        <v>121.39175257731958</v>
      </c>
      <c r="M62" s="4">
        <v>262</v>
      </c>
      <c r="N62" s="4">
        <v>226</v>
      </c>
      <c r="O62" s="4">
        <v>313</v>
      </c>
      <c r="P62" s="4">
        <v>58</v>
      </c>
      <c r="Q62" s="6">
        <f t="shared" si="8"/>
        <v>0.30500582072176952</v>
      </c>
      <c r="R62" s="6">
        <f t="shared" si="9"/>
        <v>0.26309662398137368</v>
      </c>
      <c r="S62" s="6">
        <f t="shared" si="10"/>
        <v>0.36437718277066355</v>
      </c>
      <c r="T62" s="6">
        <f t="shared" si="11"/>
        <v>6.7520372526193251E-2</v>
      </c>
    </row>
    <row r="63" spans="1:20" x14ac:dyDescent="0.25">
      <c r="A63" s="1" t="s">
        <v>58</v>
      </c>
      <c r="B63" s="4">
        <f t="shared" si="0"/>
        <v>712</v>
      </c>
      <c r="C63" s="4">
        <f t="shared" si="1"/>
        <v>392</v>
      </c>
      <c r="D63" s="4">
        <f t="shared" si="2"/>
        <v>320</v>
      </c>
      <c r="E63" s="4">
        <f t="shared" si="3"/>
        <v>582</v>
      </c>
      <c r="F63" s="4">
        <v>280</v>
      </c>
      <c r="G63" s="4">
        <v>302</v>
      </c>
      <c r="H63" s="4">
        <f t="shared" si="4"/>
        <v>130</v>
      </c>
      <c r="I63" s="4">
        <v>112</v>
      </c>
      <c r="J63" s="4">
        <v>18</v>
      </c>
      <c r="K63" s="2">
        <f t="shared" si="5"/>
        <v>18.258426966292134</v>
      </c>
      <c r="L63" s="3">
        <f t="shared" si="6"/>
        <v>92.715231788079464</v>
      </c>
      <c r="M63" s="4">
        <v>187</v>
      </c>
      <c r="N63" s="4">
        <v>114</v>
      </c>
      <c r="O63" s="4">
        <v>229</v>
      </c>
      <c r="P63" s="4">
        <v>52</v>
      </c>
      <c r="Q63" s="6">
        <f t="shared" si="8"/>
        <v>0.32130584192439865</v>
      </c>
      <c r="R63" s="6">
        <f t="shared" si="9"/>
        <v>0.19587628865979381</v>
      </c>
      <c r="S63" s="6">
        <f t="shared" si="10"/>
        <v>0.39347079037800686</v>
      </c>
      <c r="T63" s="6">
        <f t="shared" si="11"/>
        <v>8.9347079037800689E-2</v>
      </c>
    </row>
    <row r="64" spans="1:20" x14ac:dyDescent="0.25">
      <c r="A64" s="1" t="s">
        <v>59</v>
      </c>
      <c r="B64" s="4">
        <f t="shared" si="0"/>
        <v>2783</v>
      </c>
      <c r="C64" s="4">
        <f t="shared" si="1"/>
        <v>1530</v>
      </c>
      <c r="D64" s="4">
        <f t="shared" si="2"/>
        <v>1253</v>
      </c>
      <c r="E64" s="4">
        <f t="shared" si="3"/>
        <v>2342</v>
      </c>
      <c r="F64" s="4">
        <v>1167</v>
      </c>
      <c r="G64" s="4">
        <v>1175</v>
      </c>
      <c r="H64" s="4">
        <f t="shared" si="4"/>
        <v>441</v>
      </c>
      <c r="I64" s="4">
        <v>363</v>
      </c>
      <c r="J64" s="4">
        <v>78</v>
      </c>
      <c r="K64" s="2">
        <f t="shared" si="5"/>
        <v>15.846209126841536</v>
      </c>
      <c r="L64" s="3">
        <f t="shared" si="6"/>
        <v>99.319148936170208</v>
      </c>
      <c r="M64" s="4">
        <v>785</v>
      </c>
      <c r="N64" s="4">
        <v>499</v>
      </c>
      <c r="O64" s="4">
        <v>872</v>
      </c>
      <c r="P64" s="4">
        <v>186</v>
      </c>
      <c r="Q64" s="6">
        <f t="shared" si="8"/>
        <v>0.33518360375747225</v>
      </c>
      <c r="R64" s="6">
        <f t="shared" si="9"/>
        <v>0.213065755764304</v>
      </c>
      <c r="S64" s="6">
        <f t="shared" si="10"/>
        <v>0.37233134073441504</v>
      </c>
      <c r="T64" s="6">
        <f t="shared" si="11"/>
        <v>7.9419299743808708E-2</v>
      </c>
    </row>
    <row r="65" spans="1:20" x14ac:dyDescent="0.25">
      <c r="A65" s="1" t="s">
        <v>60</v>
      </c>
      <c r="B65" s="4">
        <f t="shared" si="0"/>
        <v>2625</v>
      </c>
      <c r="C65" s="4">
        <f t="shared" si="1"/>
        <v>1332</v>
      </c>
      <c r="D65" s="4">
        <f t="shared" si="2"/>
        <v>1293</v>
      </c>
      <c r="E65" s="4">
        <f t="shared" si="3"/>
        <v>2369</v>
      </c>
      <c r="F65" s="4">
        <v>1121</v>
      </c>
      <c r="G65" s="4">
        <v>1248</v>
      </c>
      <c r="H65" s="4">
        <f t="shared" si="4"/>
        <v>256</v>
      </c>
      <c r="I65" s="4">
        <v>211</v>
      </c>
      <c r="J65" s="4">
        <v>45</v>
      </c>
      <c r="K65" s="2">
        <f t="shared" si="5"/>
        <v>9.7523809523809533</v>
      </c>
      <c r="L65" s="3">
        <f t="shared" si="6"/>
        <v>89.823717948717956</v>
      </c>
      <c r="M65" s="4">
        <v>816</v>
      </c>
      <c r="N65" s="4">
        <v>557</v>
      </c>
      <c r="O65" s="4">
        <v>831</v>
      </c>
      <c r="P65" s="4">
        <v>165</v>
      </c>
      <c r="Q65" s="6">
        <f t="shared" si="8"/>
        <v>0.34444913465597299</v>
      </c>
      <c r="R65" s="6">
        <f t="shared" si="9"/>
        <v>0.23512030392570704</v>
      </c>
      <c r="S65" s="6">
        <f t="shared" si="10"/>
        <v>0.35078092021950191</v>
      </c>
      <c r="T65" s="6">
        <f t="shared" si="11"/>
        <v>6.9649641198818071E-2</v>
      </c>
    </row>
    <row r="66" spans="1:20" x14ac:dyDescent="0.25">
      <c r="A66" s="1" t="s">
        <v>61</v>
      </c>
      <c r="B66" s="4">
        <f t="shared" si="0"/>
        <v>2588</v>
      </c>
      <c r="C66" s="4">
        <f t="shared" si="1"/>
        <v>1277</v>
      </c>
      <c r="D66" s="4">
        <f t="shared" si="2"/>
        <v>1311</v>
      </c>
      <c r="E66" s="4">
        <f t="shared" si="3"/>
        <v>2414</v>
      </c>
      <c r="F66" s="4">
        <v>1130</v>
      </c>
      <c r="G66" s="4">
        <v>1284</v>
      </c>
      <c r="H66" s="4">
        <f t="shared" si="4"/>
        <v>174</v>
      </c>
      <c r="I66" s="4">
        <v>147</v>
      </c>
      <c r="J66" s="4">
        <v>27</v>
      </c>
      <c r="K66" s="2">
        <f t="shared" si="5"/>
        <v>6.7233384853168472</v>
      </c>
      <c r="L66" s="3">
        <f t="shared" si="6"/>
        <v>88.006230529595015</v>
      </c>
      <c r="M66" s="4">
        <v>1020</v>
      </c>
      <c r="N66" s="4">
        <v>562</v>
      </c>
      <c r="O66" s="4">
        <v>709</v>
      </c>
      <c r="P66" s="4">
        <v>123</v>
      </c>
      <c r="Q66" s="6">
        <f t="shared" si="8"/>
        <v>0.42253521126760563</v>
      </c>
      <c r="R66" s="6">
        <f t="shared" si="9"/>
        <v>0.23280861640430819</v>
      </c>
      <c r="S66" s="6">
        <f t="shared" si="10"/>
        <v>0.29370339685169844</v>
      </c>
      <c r="T66" s="6">
        <f t="shared" si="11"/>
        <v>5.0952775476387741E-2</v>
      </c>
    </row>
    <row r="67" spans="1:20" x14ac:dyDescent="0.25">
      <c r="A67" s="1" t="s">
        <v>62</v>
      </c>
      <c r="B67" s="4">
        <f t="shared" si="0"/>
        <v>2240</v>
      </c>
      <c r="C67" s="4">
        <f t="shared" si="1"/>
        <v>1168</v>
      </c>
      <c r="D67" s="4">
        <f t="shared" si="2"/>
        <v>1072</v>
      </c>
      <c r="E67" s="4">
        <f t="shared" si="3"/>
        <v>2025</v>
      </c>
      <c r="F67" s="4">
        <v>978</v>
      </c>
      <c r="G67" s="4">
        <v>1047</v>
      </c>
      <c r="H67" s="4">
        <f t="shared" si="4"/>
        <v>215</v>
      </c>
      <c r="I67" s="4">
        <v>190</v>
      </c>
      <c r="J67" s="4">
        <v>25</v>
      </c>
      <c r="K67" s="2">
        <f t="shared" si="5"/>
        <v>9.5982142857142865</v>
      </c>
      <c r="L67" s="3">
        <f t="shared" si="6"/>
        <v>93.409742120343836</v>
      </c>
      <c r="M67" s="4">
        <v>850</v>
      </c>
      <c r="N67" s="4">
        <v>468</v>
      </c>
      <c r="O67" s="4">
        <v>606</v>
      </c>
      <c r="P67" s="4">
        <v>101</v>
      </c>
      <c r="Q67" s="6">
        <f t="shared" si="8"/>
        <v>0.41975308641975306</v>
      </c>
      <c r="R67" s="6">
        <f t="shared" si="9"/>
        <v>0.2311111111111111</v>
      </c>
      <c r="S67" s="6">
        <f t="shared" si="10"/>
        <v>0.29925925925925928</v>
      </c>
      <c r="T67" s="6">
        <f t="shared" si="11"/>
        <v>4.9876543209876542E-2</v>
      </c>
    </row>
    <row r="68" spans="1:20" x14ac:dyDescent="0.25">
      <c r="A68" s="1" t="s">
        <v>63</v>
      </c>
      <c r="B68" s="4">
        <f t="shared" si="0"/>
        <v>3726</v>
      </c>
      <c r="C68" s="4">
        <f t="shared" si="1"/>
        <v>1905</v>
      </c>
      <c r="D68" s="4">
        <f t="shared" si="2"/>
        <v>1821</v>
      </c>
      <c r="E68" s="4">
        <f t="shared" si="3"/>
        <v>3300</v>
      </c>
      <c r="F68" s="4">
        <v>1543</v>
      </c>
      <c r="G68" s="4">
        <v>1757</v>
      </c>
      <c r="H68" s="4">
        <f t="shared" si="4"/>
        <v>426</v>
      </c>
      <c r="I68" s="4">
        <v>362</v>
      </c>
      <c r="J68" s="4">
        <v>64</v>
      </c>
      <c r="K68" s="2">
        <f t="shared" si="5"/>
        <v>11.433172302737519</v>
      </c>
      <c r="L68" s="3">
        <f t="shared" si="6"/>
        <v>87.820147979510537</v>
      </c>
      <c r="M68" s="4">
        <v>1210</v>
      </c>
      <c r="N68" s="4">
        <v>824</v>
      </c>
      <c r="O68" s="4">
        <v>1077</v>
      </c>
      <c r="P68" s="4">
        <v>189</v>
      </c>
      <c r="Q68" s="6">
        <f t="shared" si="8"/>
        <v>0.36666666666666664</v>
      </c>
      <c r="R68" s="6">
        <f t="shared" si="9"/>
        <v>0.2496969696969697</v>
      </c>
      <c r="S68" s="6">
        <f t="shared" si="10"/>
        <v>0.32636363636363636</v>
      </c>
      <c r="T68" s="6">
        <f t="shared" si="11"/>
        <v>5.7272727272727274E-2</v>
      </c>
    </row>
    <row r="69" spans="1:20" x14ac:dyDescent="0.25">
      <c r="A69" s="1" t="s">
        <v>64</v>
      </c>
      <c r="B69" s="4">
        <f t="shared" ref="B69:B97" si="12">C69+D69</f>
        <v>2727</v>
      </c>
      <c r="C69" s="4">
        <f t="shared" ref="C69:C97" si="13">F69+I69</f>
        <v>1468</v>
      </c>
      <c r="D69" s="4">
        <f t="shared" ref="D69:D97" si="14">G69+J69</f>
        <v>1259</v>
      </c>
      <c r="E69" s="4">
        <f t="shared" ref="E69:E97" si="15">F69+G69</f>
        <v>2320</v>
      </c>
      <c r="F69" s="4">
        <v>1133</v>
      </c>
      <c r="G69" s="4">
        <v>1187</v>
      </c>
      <c r="H69" s="4">
        <f t="shared" ref="H69:H97" si="16">I69+J69</f>
        <v>407</v>
      </c>
      <c r="I69" s="4">
        <v>335</v>
      </c>
      <c r="J69" s="4">
        <v>72</v>
      </c>
      <c r="K69" s="2">
        <f t="shared" ref="K69:K97" si="17">H69/B69*100</f>
        <v>14.924825815914925</v>
      </c>
      <c r="L69" s="3">
        <f t="shared" ref="L69:L97" si="18">F69/G69*100</f>
        <v>95.450716090985679</v>
      </c>
      <c r="M69" s="4">
        <v>870</v>
      </c>
      <c r="N69" s="4">
        <v>564</v>
      </c>
      <c r="O69" s="4">
        <v>773</v>
      </c>
      <c r="P69" s="4">
        <v>113</v>
      </c>
      <c r="Q69" s="6">
        <f t="shared" si="8"/>
        <v>0.375</v>
      </c>
      <c r="R69" s="6">
        <f t="shared" si="9"/>
        <v>0.24310344827586206</v>
      </c>
      <c r="S69" s="6">
        <f t="shared" si="10"/>
        <v>0.33318965517241378</v>
      </c>
      <c r="T69" s="6">
        <f t="shared" si="11"/>
        <v>4.8706896551724138E-2</v>
      </c>
    </row>
    <row r="70" spans="1:20" x14ac:dyDescent="0.25">
      <c r="A70" s="1" t="s">
        <v>65</v>
      </c>
      <c r="B70" s="4">
        <f t="shared" si="12"/>
        <v>2186</v>
      </c>
      <c r="C70" s="4">
        <f t="shared" si="13"/>
        <v>1048</v>
      </c>
      <c r="D70" s="4">
        <f t="shared" si="14"/>
        <v>1138</v>
      </c>
      <c r="E70" s="4">
        <f t="shared" si="15"/>
        <v>2020</v>
      </c>
      <c r="F70" s="4">
        <v>913</v>
      </c>
      <c r="G70" s="4">
        <v>1107</v>
      </c>
      <c r="H70" s="4">
        <f t="shared" si="16"/>
        <v>166</v>
      </c>
      <c r="I70" s="4">
        <v>135</v>
      </c>
      <c r="J70" s="4">
        <v>31</v>
      </c>
      <c r="K70" s="2">
        <f t="shared" si="17"/>
        <v>7.5937785910338524</v>
      </c>
      <c r="L70" s="3">
        <f t="shared" si="18"/>
        <v>82.475158084914185</v>
      </c>
      <c r="M70" s="4">
        <v>782</v>
      </c>
      <c r="N70" s="4">
        <v>436</v>
      </c>
      <c r="O70" s="4">
        <v>652</v>
      </c>
      <c r="P70" s="4">
        <v>150</v>
      </c>
      <c r="Q70" s="6">
        <f t="shared" ref="Q70:Q97" si="19">M70/$E70</f>
        <v>0.38712871287128714</v>
      </c>
      <c r="R70" s="6">
        <f t="shared" ref="R70:R97" si="20">N70/$E70</f>
        <v>0.21584158415841584</v>
      </c>
      <c r="S70" s="6">
        <f t="shared" ref="S70:S97" si="21">O70/$E70</f>
        <v>0.32277227722772278</v>
      </c>
      <c r="T70" s="6">
        <f t="shared" ref="T70:T97" si="22">P70/$E70</f>
        <v>7.4257425742574254E-2</v>
      </c>
    </row>
    <row r="71" spans="1:20" x14ac:dyDescent="0.25">
      <c r="A71" s="1" t="s">
        <v>66</v>
      </c>
      <c r="B71" s="4">
        <f t="shared" si="12"/>
        <v>3061</v>
      </c>
      <c r="C71" s="4">
        <f t="shared" si="13"/>
        <v>1668</v>
      </c>
      <c r="D71" s="4">
        <f t="shared" si="14"/>
        <v>1393</v>
      </c>
      <c r="E71" s="4">
        <f t="shared" si="15"/>
        <v>2731</v>
      </c>
      <c r="F71" s="4">
        <v>1375</v>
      </c>
      <c r="G71" s="4">
        <v>1356</v>
      </c>
      <c r="H71" s="4">
        <f t="shared" si="16"/>
        <v>330</v>
      </c>
      <c r="I71" s="4">
        <v>293</v>
      </c>
      <c r="J71" s="4">
        <v>37</v>
      </c>
      <c r="K71" s="2">
        <f t="shared" si="17"/>
        <v>10.78079059131003</v>
      </c>
      <c r="L71" s="3">
        <f t="shared" si="18"/>
        <v>101.40117994100295</v>
      </c>
      <c r="M71" s="4">
        <v>967</v>
      </c>
      <c r="N71" s="4">
        <v>642</v>
      </c>
      <c r="O71" s="4">
        <v>946</v>
      </c>
      <c r="P71" s="4">
        <v>176</v>
      </c>
      <c r="Q71" s="6">
        <f t="shared" si="19"/>
        <v>0.35408275357012081</v>
      </c>
      <c r="R71" s="6">
        <f t="shared" si="20"/>
        <v>0.23507872574148664</v>
      </c>
      <c r="S71" s="6">
        <f t="shared" si="21"/>
        <v>0.34639326254119368</v>
      </c>
      <c r="T71" s="6">
        <f t="shared" si="22"/>
        <v>6.4445258147198828E-2</v>
      </c>
    </row>
    <row r="72" spans="1:20" x14ac:dyDescent="0.25">
      <c r="A72" s="1" t="s">
        <v>67</v>
      </c>
      <c r="B72" s="4">
        <f t="shared" si="12"/>
        <v>2495</v>
      </c>
      <c r="C72" s="4">
        <f t="shared" si="13"/>
        <v>1331</v>
      </c>
      <c r="D72" s="4">
        <f t="shared" si="14"/>
        <v>1164</v>
      </c>
      <c r="E72" s="4">
        <f t="shared" si="15"/>
        <v>2221</v>
      </c>
      <c r="F72" s="4">
        <v>1094</v>
      </c>
      <c r="G72" s="4">
        <v>1127</v>
      </c>
      <c r="H72" s="4">
        <f t="shared" si="16"/>
        <v>274</v>
      </c>
      <c r="I72" s="4">
        <v>237</v>
      </c>
      <c r="J72" s="4">
        <v>37</v>
      </c>
      <c r="K72" s="2">
        <f t="shared" si="17"/>
        <v>10.981963927855713</v>
      </c>
      <c r="L72" s="3">
        <f t="shared" si="18"/>
        <v>97.071872227151729</v>
      </c>
      <c r="M72" s="4">
        <v>827</v>
      </c>
      <c r="N72" s="4">
        <v>547</v>
      </c>
      <c r="O72" s="4">
        <v>713</v>
      </c>
      <c r="P72" s="4">
        <v>134</v>
      </c>
      <c r="Q72" s="6">
        <f t="shared" si="19"/>
        <v>0.37235479513732556</v>
      </c>
      <c r="R72" s="6">
        <f t="shared" si="20"/>
        <v>0.24628545700135074</v>
      </c>
      <c r="S72" s="6">
        <f t="shared" si="21"/>
        <v>0.3210265646105358</v>
      </c>
      <c r="T72" s="6">
        <f t="shared" si="22"/>
        <v>6.0333183250787931E-2</v>
      </c>
    </row>
    <row r="73" spans="1:20" x14ac:dyDescent="0.25">
      <c r="A73" s="1" t="s">
        <v>68</v>
      </c>
      <c r="B73" s="4">
        <f t="shared" si="12"/>
        <v>2267</v>
      </c>
      <c r="C73" s="4">
        <f t="shared" si="13"/>
        <v>1100</v>
      </c>
      <c r="D73" s="4">
        <f t="shared" si="14"/>
        <v>1167</v>
      </c>
      <c r="E73" s="4">
        <f t="shared" si="15"/>
        <v>2058</v>
      </c>
      <c r="F73" s="4">
        <v>928</v>
      </c>
      <c r="G73" s="4">
        <v>1130</v>
      </c>
      <c r="H73" s="4">
        <f t="shared" si="16"/>
        <v>209</v>
      </c>
      <c r="I73" s="4">
        <v>172</v>
      </c>
      <c r="J73" s="4">
        <v>37</v>
      </c>
      <c r="K73" s="2">
        <f t="shared" si="17"/>
        <v>9.2192324658138514</v>
      </c>
      <c r="L73" s="3">
        <f t="shared" si="18"/>
        <v>82.123893805309734</v>
      </c>
      <c r="M73" s="4">
        <v>802</v>
      </c>
      <c r="N73" s="4">
        <v>466</v>
      </c>
      <c r="O73" s="4">
        <v>664</v>
      </c>
      <c r="P73" s="4">
        <v>126</v>
      </c>
      <c r="Q73" s="6">
        <f t="shared" si="19"/>
        <v>0.38969873663751214</v>
      </c>
      <c r="R73" s="6">
        <f t="shared" si="20"/>
        <v>0.22643343051506318</v>
      </c>
      <c r="S73" s="6">
        <f t="shared" si="21"/>
        <v>0.32264334305150633</v>
      </c>
      <c r="T73" s="6">
        <f t="shared" si="22"/>
        <v>6.1224489795918366E-2</v>
      </c>
    </row>
    <row r="74" spans="1:20" x14ac:dyDescent="0.25">
      <c r="A74" s="1" t="s">
        <v>69</v>
      </c>
      <c r="B74" s="4">
        <f t="shared" si="12"/>
        <v>3802</v>
      </c>
      <c r="C74" s="4">
        <f t="shared" si="13"/>
        <v>1991</v>
      </c>
      <c r="D74" s="4">
        <f t="shared" si="14"/>
        <v>1811</v>
      </c>
      <c r="E74" s="4">
        <f t="shared" si="15"/>
        <v>3490</v>
      </c>
      <c r="F74" s="4">
        <v>1717</v>
      </c>
      <c r="G74" s="4">
        <v>1773</v>
      </c>
      <c r="H74" s="4">
        <f t="shared" si="16"/>
        <v>312</v>
      </c>
      <c r="I74" s="4">
        <v>274</v>
      </c>
      <c r="J74" s="4">
        <v>38</v>
      </c>
      <c r="K74" s="2">
        <f t="shared" si="17"/>
        <v>8.2062072593371909</v>
      </c>
      <c r="L74" s="3">
        <f t="shared" si="18"/>
        <v>96.841511562323745</v>
      </c>
      <c r="M74" s="4">
        <v>1245</v>
      </c>
      <c r="N74" s="4">
        <v>875</v>
      </c>
      <c r="O74" s="4">
        <v>1137</v>
      </c>
      <c r="P74" s="4">
        <v>233</v>
      </c>
      <c r="Q74" s="6">
        <f t="shared" si="19"/>
        <v>0.35673352435530087</v>
      </c>
      <c r="R74" s="6">
        <f t="shared" si="20"/>
        <v>0.25071633237822349</v>
      </c>
      <c r="S74" s="6">
        <f t="shared" si="21"/>
        <v>0.32578796561604584</v>
      </c>
      <c r="T74" s="6">
        <f t="shared" si="22"/>
        <v>6.6762177650429799E-2</v>
      </c>
    </row>
    <row r="75" spans="1:20" x14ac:dyDescent="0.25">
      <c r="A75" s="1" t="s">
        <v>70</v>
      </c>
      <c r="B75" s="4">
        <f t="shared" si="12"/>
        <v>4978</v>
      </c>
      <c r="C75" s="4">
        <f t="shared" si="13"/>
        <v>2556</v>
      </c>
      <c r="D75" s="4">
        <f t="shared" si="14"/>
        <v>2422</v>
      </c>
      <c r="E75" s="4">
        <f t="shared" si="15"/>
        <v>3996</v>
      </c>
      <c r="F75" s="4">
        <v>1862</v>
      </c>
      <c r="G75" s="4">
        <v>2134</v>
      </c>
      <c r="H75" s="4">
        <f t="shared" si="16"/>
        <v>982</v>
      </c>
      <c r="I75" s="4">
        <v>694</v>
      </c>
      <c r="J75" s="4">
        <v>288</v>
      </c>
      <c r="K75" s="2">
        <f t="shared" si="17"/>
        <v>19.726797910807552</v>
      </c>
      <c r="L75" s="3">
        <f t="shared" si="18"/>
        <v>87.253983130271791</v>
      </c>
      <c r="M75" s="4">
        <v>1505</v>
      </c>
      <c r="N75" s="4">
        <v>1055</v>
      </c>
      <c r="O75" s="4">
        <v>1210</v>
      </c>
      <c r="P75" s="4">
        <v>226</v>
      </c>
      <c r="Q75" s="6">
        <f t="shared" si="19"/>
        <v>0.3766266266266266</v>
      </c>
      <c r="R75" s="6">
        <f t="shared" si="20"/>
        <v>0.26401401401401403</v>
      </c>
      <c r="S75" s="6">
        <f t="shared" si="21"/>
        <v>0.30280280280280281</v>
      </c>
      <c r="T75" s="6">
        <f t="shared" si="22"/>
        <v>5.6556556556556559E-2</v>
      </c>
    </row>
    <row r="76" spans="1:20" x14ac:dyDescent="0.25">
      <c r="A76" s="1" t="s">
        <v>71</v>
      </c>
      <c r="B76" s="4">
        <f t="shared" si="12"/>
        <v>2751</v>
      </c>
      <c r="C76" s="4">
        <f t="shared" si="13"/>
        <v>1414</v>
      </c>
      <c r="D76" s="4">
        <f t="shared" si="14"/>
        <v>1337</v>
      </c>
      <c r="E76" s="4">
        <f t="shared" si="15"/>
        <v>2506</v>
      </c>
      <c r="F76" s="4">
        <v>1206</v>
      </c>
      <c r="G76" s="4">
        <v>1300</v>
      </c>
      <c r="H76" s="4">
        <f t="shared" si="16"/>
        <v>245</v>
      </c>
      <c r="I76" s="4">
        <v>208</v>
      </c>
      <c r="J76" s="4">
        <v>37</v>
      </c>
      <c r="K76" s="2">
        <f t="shared" si="17"/>
        <v>8.9058524173027998</v>
      </c>
      <c r="L76" s="3">
        <f t="shared" si="18"/>
        <v>92.769230769230774</v>
      </c>
      <c r="M76" s="4">
        <v>940</v>
      </c>
      <c r="N76" s="4">
        <v>619</v>
      </c>
      <c r="O76" s="4">
        <v>788</v>
      </c>
      <c r="P76" s="4">
        <v>159</v>
      </c>
      <c r="Q76" s="6">
        <f t="shared" si="19"/>
        <v>0.37509976057462091</v>
      </c>
      <c r="R76" s="6">
        <f t="shared" si="20"/>
        <v>0.24700718276137271</v>
      </c>
      <c r="S76" s="6">
        <f t="shared" si="21"/>
        <v>0.31444533120510776</v>
      </c>
      <c r="T76" s="6">
        <f t="shared" si="22"/>
        <v>6.3447725458898638E-2</v>
      </c>
    </row>
    <row r="77" spans="1:20" x14ac:dyDescent="0.25">
      <c r="A77" s="1" t="s">
        <v>72</v>
      </c>
      <c r="B77" s="4">
        <f t="shared" si="12"/>
        <v>3063</v>
      </c>
      <c r="C77" s="4">
        <f t="shared" si="13"/>
        <v>1503</v>
      </c>
      <c r="D77" s="4">
        <f t="shared" si="14"/>
        <v>1560</v>
      </c>
      <c r="E77" s="4">
        <f t="shared" si="15"/>
        <v>2939</v>
      </c>
      <c r="F77" s="4">
        <v>1399</v>
      </c>
      <c r="G77" s="4">
        <v>1540</v>
      </c>
      <c r="H77" s="4">
        <f t="shared" si="16"/>
        <v>124</v>
      </c>
      <c r="I77" s="4">
        <v>104</v>
      </c>
      <c r="J77" s="4">
        <v>20</v>
      </c>
      <c r="K77" s="2">
        <f t="shared" si="17"/>
        <v>4.0483186418543911</v>
      </c>
      <c r="L77" s="3">
        <f t="shared" si="18"/>
        <v>90.84415584415585</v>
      </c>
      <c r="M77" s="4">
        <v>1063</v>
      </c>
      <c r="N77" s="4">
        <v>712</v>
      </c>
      <c r="O77" s="4">
        <v>977</v>
      </c>
      <c r="P77" s="4">
        <v>187</v>
      </c>
      <c r="Q77" s="6">
        <f t="shared" si="19"/>
        <v>0.36168764886015653</v>
      </c>
      <c r="R77" s="6">
        <f t="shared" si="20"/>
        <v>0.24225927186117727</v>
      </c>
      <c r="S77" s="6">
        <f t="shared" si="21"/>
        <v>0.33242599523647498</v>
      </c>
      <c r="T77" s="6">
        <f t="shared" si="22"/>
        <v>6.3627084042191223E-2</v>
      </c>
    </row>
    <row r="78" spans="1:20" x14ac:dyDescent="0.25">
      <c r="A78" s="1" t="s">
        <v>73</v>
      </c>
      <c r="B78" s="4">
        <f t="shared" si="12"/>
        <v>2733</v>
      </c>
      <c r="C78" s="4">
        <f t="shared" si="13"/>
        <v>1494</v>
      </c>
      <c r="D78" s="4">
        <f t="shared" si="14"/>
        <v>1239</v>
      </c>
      <c r="E78" s="4">
        <f t="shared" si="15"/>
        <v>2406</v>
      </c>
      <c r="F78" s="4">
        <v>1200</v>
      </c>
      <c r="G78" s="4">
        <v>1206</v>
      </c>
      <c r="H78" s="4">
        <f t="shared" si="16"/>
        <v>327</v>
      </c>
      <c r="I78" s="4">
        <v>294</v>
      </c>
      <c r="J78" s="4">
        <v>33</v>
      </c>
      <c r="K78" s="2">
        <f t="shared" si="17"/>
        <v>11.964873765093303</v>
      </c>
      <c r="L78" s="3">
        <f t="shared" si="18"/>
        <v>99.50248756218906</v>
      </c>
      <c r="M78" s="4">
        <v>819</v>
      </c>
      <c r="N78" s="4">
        <v>609</v>
      </c>
      <c r="O78" s="4">
        <v>778</v>
      </c>
      <c r="P78" s="4">
        <v>200</v>
      </c>
      <c r="Q78" s="6">
        <f t="shared" si="19"/>
        <v>0.34039900249376559</v>
      </c>
      <c r="R78" s="6">
        <f t="shared" si="20"/>
        <v>0.25311720698254364</v>
      </c>
      <c r="S78" s="6">
        <f t="shared" si="21"/>
        <v>0.32335827098919367</v>
      </c>
      <c r="T78" s="6">
        <f t="shared" si="22"/>
        <v>8.3125519534497094E-2</v>
      </c>
    </row>
    <row r="79" spans="1:20" x14ac:dyDescent="0.25">
      <c r="A79" s="1" t="s">
        <v>74</v>
      </c>
      <c r="B79" s="4">
        <f t="shared" si="12"/>
        <v>2192</v>
      </c>
      <c r="C79" s="4">
        <f t="shared" si="13"/>
        <v>1167</v>
      </c>
      <c r="D79" s="4">
        <f t="shared" si="14"/>
        <v>1025</v>
      </c>
      <c r="E79" s="4">
        <f t="shared" si="15"/>
        <v>1995</v>
      </c>
      <c r="F79" s="4">
        <v>995</v>
      </c>
      <c r="G79" s="4">
        <v>1000</v>
      </c>
      <c r="H79" s="4">
        <f t="shared" si="16"/>
        <v>197</v>
      </c>
      <c r="I79" s="4">
        <v>172</v>
      </c>
      <c r="J79" s="4">
        <v>25</v>
      </c>
      <c r="K79" s="2">
        <f t="shared" si="17"/>
        <v>8.9872262773722618</v>
      </c>
      <c r="L79" s="3">
        <f t="shared" si="18"/>
        <v>99.5</v>
      </c>
      <c r="M79" s="4">
        <v>751</v>
      </c>
      <c r="N79" s="4">
        <v>528</v>
      </c>
      <c r="O79" s="4">
        <v>574</v>
      </c>
      <c r="P79" s="4">
        <v>142</v>
      </c>
      <c r="Q79" s="6">
        <f t="shared" si="19"/>
        <v>0.37644110275689224</v>
      </c>
      <c r="R79" s="6">
        <f t="shared" si="20"/>
        <v>0.26466165413533832</v>
      </c>
      <c r="S79" s="6">
        <f t="shared" si="21"/>
        <v>0.28771929824561404</v>
      </c>
      <c r="T79" s="6">
        <f t="shared" si="22"/>
        <v>7.1177944862155382E-2</v>
      </c>
    </row>
    <row r="80" spans="1:20" x14ac:dyDescent="0.25">
      <c r="A80" s="1" t="s">
        <v>75</v>
      </c>
      <c r="B80" s="4">
        <f t="shared" si="12"/>
        <v>1095</v>
      </c>
      <c r="C80" s="4">
        <f t="shared" si="13"/>
        <v>582</v>
      </c>
      <c r="D80" s="4">
        <f t="shared" si="14"/>
        <v>513</v>
      </c>
      <c r="E80" s="4">
        <f t="shared" si="15"/>
        <v>908</v>
      </c>
      <c r="F80" s="4">
        <v>431</v>
      </c>
      <c r="G80" s="4">
        <v>477</v>
      </c>
      <c r="H80" s="4">
        <f t="shared" si="16"/>
        <v>187</v>
      </c>
      <c r="I80" s="4">
        <v>151</v>
      </c>
      <c r="J80" s="4">
        <v>36</v>
      </c>
      <c r="K80" s="2">
        <f t="shared" si="17"/>
        <v>17.077625570776256</v>
      </c>
      <c r="L80" s="3">
        <f t="shared" si="18"/>
        <v>90.356394129979037</v>
      </c>
      <c r="M80" s="4">
        <v>290</v>
      </c>
      <c r="N80" s="4">
        <v>214</v>
      </c>
      <c r="O80" s="4">
        <v>300</v>
      </c>
      <c r="P80" s="4">
        <v>104</v>
      </c>
      <c r="Q80" s="6">
        <f t="shared" si="19"/>
        <v>0.31938325991189426</v>
      </c>
      <c r="R80" s="6">
        <f t="shared" si="20"/>
        <v>0.23568281938325991</v>
      </c>
      <c r="S80" s="6">
        <f t="shared" si="21"/>
        <v>0.33039647577092512</v>
      </c>
      <c r="T80" s="6">
        <f t="shared" si="22"/>
        <v>0.11453744493392071</v>
      </c>
    </row>
    <row r="81" spans="1:20" x14ac:dyDescent="0.25">
      <c r="A81" s="1" t="s">
        <v>76</v>
      </c>
      <c r="B81" s="4">
        <f t="shared" si="12"/>
        <v>2887</v>
      </c>
      <c r="C81" s="4">
        <f t="shared" si="13"/>
        <v>1572</v>
      </c>
      <c r="D81" s="4">
        <f t="shared" si="14"/>
        <v>1315</v>
      </c>
      <c r="E81" s="4">
        <f t="shared" si="15"/>
        <v>2538</v>
      </c>
      <c r="F81" s="4">
        <v>1284</v>
      </c>
      <c r="G81" s="4">
        <v>1254</v>
      </c>
      <c r="H81" s="4">
        <f t="shared" si="16"/>
        <v>349</v>
      </c>
      <c r="I81" s="4">
        <v>288</v>
      </c>
      <c r="J81" s="4">
        <v>61</v>
      </c>
      <c r="K81" s="2">
        <f t="shared" si="17"/>
        <v>12.088673363352962</v>
      </c>
      <c r="L81" s="3">
        <f t="shared" si="18"/>
        <v>102.39234449760765</v>
      </c>
      <c r="M81" s="4">
        <v>889</v>
      </c>
      <c r="N81" s="4">
        <v>692</v>
      </c>
      <c r="O81" s="4">
        <v>756</v>
      </c>
      <c r="P81" s="4">
        <v>201</v>
      </c>
      <c r="Q81" s="6">
        <f t="shared" si="19"/>
        <v>0.35027580772261624</v>
      </c>
      <c r="R81" s="6">
        <f t="shared" si="20"/>
        <v>0.27265563435776202</v>
      </c>
      <c r="S81" s="6">
        <f t="shared" si="21"/>
        <v>0.2978723404255319</v>
      </c>
      <c r="T81" s="6">
        <f t="shared" si="22"/>
        <v>7.9196217494089838E-2</v>
      </c>
    </row>
    <row r="82" spans="1:20" x14ac:dyDescent="0.25">
      <c r="A82" s="1" t="s">
        <v>77</v>
      </c>
      <c r="B82" s="4">
        <f t="shared" si="12"/>
        <v>1841</v>
      </c>
      <c r="C82" s="4">
        <f t="shared" si="13"/>
        <v>972</v>
      </c>
      <c r="D82" s="4">
        <f t="shared" si="14"/>
        <v>869</v>
      </c>
      <c r="E82" s="4">
        <f t="shared" si="15"/>
        <v>1629</v>
      </c>
      <c r="F82" s="4">
        <v>790</v>
      </c>
      <c r="G82" s="4">
        <v>839</v>
      </c>
      <c r="H82" s="4">
        <f t="shared" si="16"/>
        <v>212</v>
      </c>
      <c r="I82" s="4">
        <v>182</v>
      </c>
      <c r="J82" s="4">
        <v>30</v>
      </c>
      <c r="K82" s="2">
        <f t="shared" si="17"/>
        <v>11.51548071700163</v>
      </c>
      <c r="L82" s="3">
        <f t="shared" si="18"/>
        <v>94.159713945172825</v>
      </c>
      <c r="M82" s="4">
        <v>538</v>
      </c>
      <c r="N82" s="4">
        <v>364</v>
      </c>
      <c r="O82" s="4">
        <v>504</v>
      </c>
      <c r="P82" s="4">
        <v>223</v>
      </c>
      <c r="Q82" s="6">
        <f t="shared" si="19"/>
        <v>0.33026396562308163</v>
      </c>
      <c r="R82" s="6">
        <f t="shared" si="20"/>
        <v>0.22344996930632291</v>
      </c>
      <c r="S82" s="6">
        <f t="shared" si="21"/>
        <v>0.30939226519337015</v>
      </c>
      <c r="T82" s="6">
        <f t="shared" si="22"/>
        <v>0.1368937998772253</v>
      </c>
    </row>
    <row r="83" spans="1:20" x14ac:dyDescent="0.25">
      <c r="A83" s="1" t="s">
        <v>78</v>
      </c>
      <c r="B83" s="4">
        <f t="shared" si="12"/>
        <v>1930</v>
      </c>
      <c r="C83" s="4">
        <f t="shared" si="13"/>
        <v>1074</v>
      </c>
      <c r="D83" s="4">
        <f t="shared" si="14"/>
        <v>856</v>
      </c>
      <c r="E83" s="4">
        <f t="shared" si="15"/>
        <v>1696</v>
      </c>
      <c r="F83" s="4">
        <v>867</v>
      </c>
      <c r="G83" s="4">
        <v>829</v>
      </c>
      <c r="H83" s="4">
        <f t="shared" si="16"/>
        <v>234</v>
      </c>
      <c r="I83" s="4">
        <v>207</v>
      </c>
      <c r="J83" s="4">
        <v>27</v>
      </c>
      <c r="K83" s="2">
        <f t="shared" si="17"/>
        <v>12.124352331606218</v>
      </c>
      <c r="L83" s="3">
        <f t="shared" si="18"/>
        <v>104.583835946924</v>
      </c>
      <c r="M83" s="4">
        <v>503</v>
      </c>
      <c r="N83" s="4">
        <v>461</v>
      </c>
      <c r="O83" s="4">
        <v>543</v>
      </c>
      <c r="P83" s="4">
        <v>189</v>
      </c>
      <c r="Q83" s="6">
        <f t="shared" si="19"/>
        <v>0.29658018867924529</v>
      </c>
      <c r="R83" s="6">
        <f t="shared" si="20"/>
        <v>0.27181603773584906</v>
      </c>
      <c r="S83" s="6">
        <f t="shared" si="21"/>
        <v>0.32016509433962265</v>
      </c>
      <c r="T83" s="6">
        <f t="shared" si="22"/>
        <v>0.11143867924528301</v>
      </c>
    </row>
    <row r="84" spans="1:20" x14ac:dyDescent="0.25">
      <c r="A84" s="1" t="s">
        <v>79</v>
      </c>
      <c r="B84" s="4">
        <f t="shared" si="12"/>
        <v>2683</v>
      </c>
      <c r="C84" s="4">
        <f t="shared" si="13"/>
        <v>1414</v>
      </c>
      <c r="D84" s="4">
        <f t="shared" si="14"/>
        <v>1269</v>
      </c>
      <c r="E84" s="4">
        <f t="shared" si="15"/>
        <v>2477</v>
      </c>
      <c r="F84" s="4">
        <v>1230</v>
      </c>
      <c r="G84" s="4">
        <v>1247</v>
      </c>
      <c r="H84" s="4">
        <f t="shared" si="16"/>
        <v>206</v>
      </c>
      <c r="I84" s="4">
        <v>184</v>
      </c>
      <c r="J84" s="4">
        <v>22</v>
      </c>
      <c r="K84" s="2">
        <f t="shared" si="17"/>
        <v>7.6779724189340284</v>
      </c>
      <c r="L84" s="3">
        <f t="shared" si="18"/>
        <v>98.636728147554138</v>
      </c>
      <c r="M84" s="4">
        <v>870</v>
      </c>
      <c r="N84" s="4">
        <v>608</v>
      </c>
      <c r="O84" s="4">
        <v>749</v>
      </c>
      <c r="P84" s="4">
        <v>250</v>
      </c>
      <c r="Q84" s="6">
        <f t="shared" si="19"/>
        <v>0.3512313282196205</v>
      </c>
      <c r="R84" s="6">
        <f t="shared" si="20"/>
        <v>0.24545821558336697</v>
      </c>
      <c r="S84" s="6">
        <f t="shared" si="21"/>
        <v>0.30238191360516753</v>
      </c>
      <c r="T84" s="6">
        <f t="shared" si="22"/>
        <v>0.10092854259184497</v>
      </c>
    </row>
    <row r="85" spans="1:20" x14ac:dyDescent="0.25">
      <c r="A85" s="1" t="s">
        <v>80</v>
      </c>
      <c r="B85" s="4">
        <f t="shared" si="12"/>
        <v>2602</v>
      </c>
      <c r="C85" s="4">
        <f t="shared" si="13"/>
        <v>1324</v>
      </c>
      <c r="D85" s="4">
        <f t="shared" si="14"/>
        <v>1278</v>
      </c>
      <c r="E85" s="4">
        <f t="shared" si="15"/>
        <v>2329</v>
      </c>
      <c r="F85" s="4">
        <v>1103</v>
      </c>
      <c r="G85" s="4">
        <v>1226</v>
      </c>
      <c r="H85" s="4">
        <f t="shared" si="16"/>
        <v>273</v>
      </c>
      <c r="I85" s="4">
        <v>221</v>
      </c>
      <c r="J85" s="4">
        <v>52</v>
      </c>
      <c r="K85" s="2">
        <f t="shared" si="17"/>
        <v>10.491929285165257</v>
      </c>
      <c r="L85" s="3">
        <f t="shared" si="18"/>
        <v>89.9673735725938</v>
      </c>
      <c r="M85" s="4">
        <v>911</v>
      </c>
      <c r="N85" s="4">
        <v>583</v>
      </c>
      <c r="O85" s="4">
        <v>677</v>
      </c>
      <c r="P85" s="4">
        <v>158</v>
      </c>
      <c r="Q85" s="6">
        <f t="shared" si="19"/>
        <v>0.39115500214684412</v>
      </c>
      <c r="R85" s="6">
        <f t="shared" si="20"/>
        <v>0.25032202662086733</v>
      </c>
      <c r="S85" s="6">
        <f t="shared" si="21"/>
        <v>0.29068269643623873</v>
      </c>
      <c r="T85" s="6">
        <f t="shared" si="22"/>
        <v>6.7840274796049801E-2</v>
      </c>
    </row>
    <row r="86" spans="1:20" x14ac:dyDescent="0.25">
      <c r="A86" s="1" t="s">
        <v>81</v>
      </c>
      <c r="B86" s="4">
        <f t="shared" si="12"/>
        <v>3513</v>
      </c>
      <c r="C86" s="4">
        <f t="shared" si="13"/>
        <v>1804</v>
      </c>
      <c r="D86" s="4">
        <f t="shared" si="14"/>
        <v>1709</v>
      </c>
      <c r="E86" s="4">
        <f t="shared" si="15"/>
        <v>3009</v>
      </c>
      <c r="F86" s="4">
        <v>1360</v>
      </c>
      <c r="G86" s="4">
        <v>1649</v>
      </c>
      <c r="H86" s="4">
        <f t="shared" si="16"/>
        <v>504</v>
      </c>
      <c r="I86" s="4">
        <v>444</v>
      </c>
      <c r="J86" s="4">
        <v>60</v>
      </c>
      <c r="K86" s="2">
        <f t="shared" si="17"/>
        <v>14.346712211784798</v>
      </c>
      <c r="L86" s="3">
        <f t="shared" si="18"/>
        <v>82.474226804123703</v>
      </c>
      <c r="M86" s="4">
        <v>1222</v>
      </c>
      <c r="N86" s="4">
        <v>687</v>
      </c>
      <c r="O86" s="4">
        <v>938</v>
      </c>
      <c r="P86" s="4">
        <v>162</v>
      </c>
      <c r="Q86" s="6">
        <f t="shared" si="19"/>
        <v>0.40611498836822862</v>
      </c>
      <c r="R86" s="6">
        <f t="shared" si="20"/>
        <v>0.22831505483549352</v>
      </c>
      <c r="S86" s="6">
        <f t="shared" si="21"/>
        <v>0.31173147224991693</v>
      </c>
      <c r="T86" s="6">
        <f t="shared" si="22"/>
        <v>5.3838484546360914E-2</v>
      </c>
    </row>
    <row r="87" spans="1:20" x14ac:dyDescent="0.25">
      <c r="A87" s="1" t="s">
        <v>82</v>
      </c>
      <c r="B87" s="4">
        <f t="shared" si="12"/>
        <v>2565</v>
      </c>
      <c r="C87" s="4">
        <f t="shared" si="13"/>
        <v>1307</v>
      </c>
      <c r="D87" s="4">
        <f t="shared" si="14"/>
        <v>1258</v>
      </c>
      <c r="E87" s="4">
        <f t="shared" si="15"/>
        <v>2242</v>
      </c>
      <c r="F87" s="4">
        <v>1008</v>
      </c>
      <c r="G87" s="4">
        <v>1234</v>
      </c>
      <c r="H87" s="4">
        <f t="shared" si="16"/>
        <v>323</v>
      </c>
      <c r="I87" s="4">
        <v>299</v>
      </c>
      <c r="J87" s="4">
        <v>24</v>
      </c>
      <c r="K87" s="2">
        <f t="shared" si="17"/>
        <v>12.592592592592592</v>
      </c>
      <c r="L87" s="3">
        <f t="shared" si="18"/>
        <v>81.685575364667756</v>
      </c>
      <c r="M87" s="4">
        <v>784</v>
      </c>
      <c r="N87" s="4">
        <v>567</v>
      </c>
      <c r="O87" s="4">
        <v>687</v>
      </c>
      <c r="P87" s="4">
        <v>204</v>
      </c>
      <c r="Q87" s="6">
        <f t="shared" si="19"/>
        <v>0.34968777876895629</v>
      </c>
      <c r="R87" s="6">
        <f t="shared" si="20"/>
        <v>0.25289919714540587</v>
      </c>
      <c r="S87" s="6">
        <f t="shared" si="21"/>
        <v>0.30642283675289922</v>
      </c>
      <c r="T87" s="6">
        <f t="shared" si="22"/>
        <v>9.0990187332738628E-2</v>
      </c>
    </row>
    <row r="88" spans="1:20" x14ac:dyDescent="0.25">
      <c r="A88" s="1" t="s">
        <v>83</v>
      </c>
      <c r="B88" s="4">
        <f t="shared" si="12"/>
        <v>2787</v>
      </c>
      <c r="C88" s="4">
        <f t="shared" si="13"/>
        <v>1508</v>
      </c>
      <c r="D88" s="4">
        <f t="shared" si="14"/>
        <v>1279</v>
      </c>
      <c r="E88" s="4">
        <f t="shared" si="15"/>
        <v>2401</v>
      </c>
      <c r="F88" s="4">
        <v>1150</v>
      </c>
      <c r="G88" s="4">
        <v>1251</v>
      </c>
      <c r="H88" s="4">
        <f t="shared" si="16"/>
        <v>386</v>
      </c>
      <c r="I88" s="4">
        <v>358</v>
      </c>
      <c r="J88" s="4">
        <v>28</v>
      </c>
      <c r="K88" s="2">
        <f t="shared" si="17"/>
        <v>13.850017940437748</v>
      </c>
      <c r="L88" s="3">
        <f t="shared" si="18"/>
        <v>91.926458832933662</v>
      </c>
      <c r="M88" s="4">
        <v>789</v>
      </c>
      <c r="N88" s="4">
        <v>571</v>
      </c>
      <c r="O88" s="4">
        <v>822</v>
      </c>
      <c r="P88" s="4">
        <v>219</v>
      </c>
      <c r="Q88" s="6">
        <f t="shared" si="19"/>
        <v>0.3286130778842149</v>
      </c>
      <c r="R88" s="6">
        <f t="shared" si="20"/>
        <v>0.23781757600999584</v>
      </c>
      <c r="S88" s="6">
        <f t="shared" si="21"/>
        <v>0.3423573511037068</v>
      </c>
      <c r="T88" s="6">
        <f t="shared" si="22"/>
        <v>9.1211995002082463E-2</v>
      </c>
    </row>
    <row r="89" spans="1:20" x14ac:dyDescent="0.25">
      <c r="A89" s="1" t="s">
        <v>84</v>
      </c>
      <c r="B89" s="4">
        <f t="shared" si="12"/>
        <v>3763</v>
      </c>
      <c r="C89" s="4">
        <f t="shared" si="13"/>
        <v>2033</v>
      </c>
      <c r="D89" s="4">
        <f t="shared" si="14"/>
        <v>1730</v>
      </c>
      <c r="E89" s="4">
        <f t="shared" si="15"/>
        <v>3230</v>
      </c>
      <c r="F89" s="4">
        <v>1522</v>
      </c>
      <c r="G89" s="4">
        <v>1708</v>
      </c>
      <c r="H89" s="4">
        <f t="shared" si="16"/>
        <v>533</v>
      </c>
      <c r="I89" s="4">
        <v>511</v>
      </c>
      <c r="J89" s="4">
        <v>22</v>
      </c>
      <c r="K89" s="2">
        <f t="shared" si="17"/>
        <v>14.164230667020995</v>
      </c>
      <c r="L89" s="3">
        <f t="shared" si="18"/>
        <v>89.110070257611241</v>
      </c>
      <c r="M89" s="4">
        <v>1188</v>
      </c>
      <c r="N89" s="4">
        <v>775</v>
      </c>
      <c r="O89" s="4">
        <v>992</v>
      </c>
      <c r="P89" s="4">
        <v>275</v>
      </c>
      <c r="Q89" s="6">
        <f t="shared" si="19"/>
        <v>0.36780185758513934</v>
      </c>
      <c r="R89" s="6">
        <f t="shared" si="20"/>
        <v>0.23993808049535603</v>
      </c>
      <c r="S89" s="6">
        <f t="shared" si="21"/>
        <v>0.30712074303405573</v>
      </c>
      <c r="T89" s="6">
        <f t="shared" si="22"/>
        <v>8.5139318885448914E-2</v>
      </c>
    </row>
    <row r="90" spans="1:20" x14ac:dyDescent="0.25">
      <c r="A90" s="1" t="s">
        <v>85</v>
      </c>
      <c r="B90" s="4">
        <f t="shared" si="12"/>
        <v>3074</v>
      </c>
      <c r="C90" s="4">
        <f t="shared" si="13"/>
        <v>1974</v>
      </c>
      <c r="D90" s="4">
        <f t="shared" si="14"/>
        <v>1100</v>
      </c>
      <c r="E90" s="4">
        <f t="shared" si="15"/>
        <v>1989</v>
      </c>
      <c r="F90" s="4">
        <v>921</v>
      </c>
      <c r="G90" s="4">
        <v>1068</v>
      </c>
      <c r="H90" s="4">
        <f t="shared" si="16"/>
        <v>1085</v>
      </c>
      <c r="I90" s="4">
        <v>1053</v>
      </c>
      <c r="J90" s="4">
        <v>32</v>
      </c>
      <c r="K90" s="2">
        <f t="shared" si="17"/>
        <v>35.296031229668188</v>
      </c>
      <c r="L90" s="3">
        <f t="shared" si="18"/>
        <v>86.235955056179776</v>
      </c>
      <c r="M90" s="4">
        <v>580</v>
      </c>
      <c r="N90" s="4">
        <v>412</v>
      </c>
      <c r="O90" s="4">
        <v>794</v>
      </c>
      <c r="P90" s="4">
        <v>203</v>
      </c>
      <c r="Q90" s="6">
        <f t="shared" si="19"/>
        <v>0.29160382101558574</v>
      </c>
      <c r="R90" s="6">
        <f t="shared" si="20"/>
        <v>0.20713926596279539</v>
      </c>
      <c r="S90" s="6">
        <f t="shared" si="21"/>
        <v>0.39919557566616393</v>
      </c>
      <c r="T90" s="6">
        <f t="shared" si="22"/>
        <v>0.102061337355455</v>
      </c>
    </row>
    <row r="91" spans="1:20" x14ac:dyDescent="0.25">
      <c r="A91" s="1" t="s">
        <v>86</v>
      </c>
      <c r="B91" s="4">
        <f t="shared" si="12"/>
        <v>2602</v>
      </c>
      <c r="C91" s="4">
        <f t="shared" si="13"/>
        <v>1327</v>
      </c>
      <c r="D91" s="4">
        <f t="shared" si="14"/>
        <v>1275</v>
      </c>
      <c r="E91" s="4">
        <f t="shared" si="15"/>
        <v>2312</v>
      </c>
      <c r="F91" s="4">
        <v>1090</v>
      </c>
      <c r="G91" s="4">
        <v>1222</v>
      </c>
      <c r="H91" s="4">
        <f t="shared" si="16"/>
        <v>290</v>
      </c>
      <c r="I91" s="4">
        <v>237</v>
      </c>
      <c r="J91" s="4">
        <v>53</v>
      </c>
      <c r="K91" s="2">
        <f t="shared" si="17"/>
        <v>11.145272867025364</v>
      </c>
      <c r="L91" s="3">
        <f t="shared" si="18"/>
        <v>89.198036006546644</v>
      </c>
      <c r="M91" s="4">
        <v>741</v>
      </c>
      <c r="N91" s="4">
        <v>532</v>
      </c>
      <c r="O91" s="4">
        <v>843</v>
      </c>
      <c r="P91" s="4">
        <v>196</v>
      </c>
      <c r="Q91" s="6">
        <f t="shared" si="19"/>
        <v>0.32050173010380623</v>
      </c>
      <c r="R91" s="6">
        <f t="shared" si="20"/>
        <v>0.2301038062283737</v>
      </c>
      <c r="S91" s="6">
        <f t="shared" si="21"/>
        <v>0.36461937716262977</v>
      </c>
      <c r="T91" s="6">
        <f t="shared" si="22"/>
        <v>8.4775086505190306E-2</v>
      </c>
    </row>
    <row r="92" spans="1:20" x14ac:dyDescent="0.25">
      <c r="A92" s="1" t="s">
        <v>87</v>
      </c>
      <c r="B92" s="4">
        <f t="shared" si="12"/>
        <v>6065</v>
      </c>
      <c r="C92" s="4">
        <f t="shared" si="13"/>
        <v>3409</v>
      </c>
      <c r="D92" s="4">
        <f t="shared" si="14"/>
        <v>2656</v>
      </c>
      <c r="E92" s="4">
        <f t="shared" si="15"/>
        <v>4967</v>
      </c>
      <c r="F92" s="4">
        <v>2414</v>
      </c>
      <c r="G92" s="4">
        <v>2553</v>
      </c>
      <c r="H92" s="4">
        <f t="shared" si="16"/>
        <v>1098</v>
      </c>
      <c r="I92" s="4">
        <v>995</v>
      </c>
      <c r="J92" s="4">
        <v>103</v>
      </c>
      <c r="K92" s="2">
        <f t="shared" si="17"/>
        <v>18.103874690849135</v>
      </c>
      <c r="L92" s="3">
        <f t="shared" si="18"/>
        <v>94.555424990207598</v>
      </c>
      <c r="M92" s="4">
        <v>1657</v>
      </c>
      <c r="N92" s="4">
        <v>1462</v>
      </c>
      <c r="O92" s="4">
        <v>1576</v>
      </c>
      <c r="P92" s="4">
        <v>272</v>
      </c>
      <c r="Q92" s="6">
        <f t="shared" si="19"/>
        <v>0.33360177169317495</v>
      </c>
      <c r="R92" s="6">
        <f t="shared" si="20"/>
        <v>0.29434266156633782</v>
      </c>
      <c r="S92" s="6">
        <f t="shared" si="21"/>
        <v>0.31729414133279643</v>
      </c>
      <c r="T92" s="6">
        <f t="shared" si="22"/>
        <v>5.4761425407690759E-2</v>
      </c>
    </row>
    <row r="93" spans="1:20" x14ac:dyDescent="0.25">
      <c r="A93" s="1" t="s">
        <v>88</v>
      </c>
      <c r="B93" s="4">
        <f t="shared" si="12"/>
        <v>3862</v>
      </c>
      <c r="C93" s="4">
        <f t="shared" si="13"/>
        <v>2233</v>
      </c>
      <c r="D93" s="4">
        <f t="shared" si="14"/>
        <v>1629</v>
      </c>
      <c r="E93" s="4">
        <f t="shared" si="15"/>
        <v>2958</v>
      </c>
      <c r="F93" s="4">
        <v>1389</v>
      </c>
      <c r="G93" s="4">
        <v>1569</v>
      </c>
      <c r="H93" s="4">
        <f t="shared" si="16"/>
        <v>904</v>
      </c>
      <c r="I93" s="4">
        <v>844</v>
      </c>
      <c r="J93" s="4">
        <v>60</v>
      </c>
      <c r="K93" s="2">
        <f t="shared" si="17"/>
        <v>23.407560849300879</v>
      </c>
      <c r="L93" s="3">
        <f t="shared" si="18"/>
        <v>88.527724665391972</v>
      </c>
      <c r="M93" s="4">
        <v>907</v>
      </c>
      <c r="N93" s="4">
        <v>684</v>
      </c>
      <c r="O93" s="4">
        <v>1034</v>
      </c>
      <c r="P93" s="4">
        <v>333</v>
      </c>
      <c r="Q93" s="6">
        <f t="shared" si="19"/>
        <v>0.30662609871534818</v>
      </c>
      <c r="R93" s="6">
        <f t="shared" si="20"/>
        <v>0.23123732251521298</v>
      </c>
      <c r="S93" s="6">
        <f t="shared" si="21"/>
        <v>0.34956051386071668</v>
      </c>
      <c r="T93" s="6">
        <f t="shared" si="22"/>
        <v>0.11257606490872211</v>
      </c>
    </row>
    <row r="94" spans="1:20" x14ac:dyDescent="0.25">
      <c r="A94" s="1" t="s">
        <v>89</v>
      </c>
      <c r="B94" s="4">
        <f t="shared" si="12"/>
        <v>3761</v>
      </c>
      <c r="C94" s="4">
        <f t="shared" si="13"/>
        <v>2046</v>
      </c>
      <c r="D94" s="4">
        <f t="shared" si="14"/>
        <v>1715</v>
      </c>
      <c r="E94" s="4">
        <f t="shared" si="15"/>
        <v>3138</v>
      </c>
      <c r="F94" s="4">
        <v>1455</v>
      </c>
      <c r="G94" s="4">
        <v>1683</v>
      </c>
      <c r="H94" s="4">
        <f t="shared" si="16"/>
        <v>623</v>
      </c>
      <c r="I94" s="4">
        <v>591</v>
      </c>
      <c r="J94" s="4">
        <v>32</v>
      </c>
      <c r="K94" s="2">
        <f t="shared" si="17"/>
        <v>16.564743419303376</v>
      </c>
      <c r="L94" s="3">
        <f t="shared" si="18"/>
        <v>86.452762923351159</v>
      </c>
      <c r="M94" s="4">
        <v>995</v>
      </c>
      <c r="N94" s="4">
        <v>775</v>
      </c>
      <c r="O94" s="4">
        <v>1077</v>
      </c>
      <c r="P94" s="4">
        <v>291</v>
      </c>
      <c r="Q94" s="6">
        <f t="shared" si="19"/>
        <v>0.31708094327597197</v>
      </c>
      <c r="R94" s="6">
        <f t="shared" si="20"/>
        <v>0.24697259400892288</v>
      </c>
      <c r="S94" s="6">
        <f t="shared" si="21"/>
        <v>0.34321223709369025</v>
      </c>
      <c r="T94" s="6">
        <f t="shared" si="22"/>
        <v>9.2734225621414909E-2</v>
      </c>
    </row>
    <row r="95" spans="1:20" x14ac:dyDescent="0.25">
      <c r="A95" s="1" t="s">
        <v>90</v>
      </c>
      <c r="B95" s="4">
        <f t="shared" si="12"/>
        <v>1178</v>
      </c>
      <c r="C95" s="4">
        <f t="shared" si="13"/>
        <v>683</v>
      </c>
      <c r="D95" s="4">
        <f t="shared" si="14"/>
        <v>495</v>
      </c>
      <c r="E95" s="4">
        <f t="shared" si="15"/>
        <v>999</v>
      </c>
      <c r="F95" s="4">
        <v>514</v>
      </c>
      <c r="G95" s="4">
        <v>485</v>
      </c>
      <c r="H95" s="4">
        <f t="shared" si="16"/>
        <v>179</v>
      </c>
      <c r="I95" s="4">
        <v>169</v>
      </c>
      <c r="J95" s="4">
        <v>10</v>
      </c>
      <c r="K95" s="2">
        <f t="shared" si="17"/>
        <v>15.195246179966043</v>
      </c>
      <c r="L95" s="3">
        <f t="shared" si="18"/>
        <v>105.97938144329898</v>
      </c>
      <c r="M95" s="4">
        <v>259</v>
      </c>
      <c r="N95" s="4">
        <v>207</v>
      </c>
      <c r="O95" s="4">
        <v>391</v>
      </c>
      <c r="P95" s="4">
        <v>142</v>
      </c>
      <c r="Q95" s="6">
        <f t="shared" si="19"/>
        <v>0.25925925925925924</v>
      </c>
      <c r="R95" s="6">
        <f t="shared" si="20"/>
        <v>0.2072072072072072</v>
      </c>
      <c r="S95" s="6">
        <f t="shared" si="21"/>
        <v>0.3913913913913914</v>
      </c>
      <c r="T95" s="6">
        <f t="shared" si="22"/>
        <v>0.14214214214214213</v>
      </c>
    </row>
    <row r="96" spans="1:20" x14ac:dyDescent="0.25">
      <c r="A96" s="1" t="s">
        <v>91</v>
      </c>
      <c r="B96" s="4">
        <f t="shared" si="12"/>
        <v>2540</v>
      </c>
      <c r="C96" s="4">
        <f t="shared" si="13"/>
        <v>1365</v>
      </c>
      <c r="D96" s="4">
        <f t="shared" si="14"/>
        <v>1175</v>
      </c>
      <c r="E96" s="4">
        <f t="shared" si="15"/>
        <v>2210</v>
      </c>
      <c r="F96" s="4">
        <v>1065</v>
      </c>
      <c r="G96" s="4">
        <v>1145</v>
      </c>
      <c r="H96" s="4">
        <f t="shared" si="16"/>
        <v>330</v>
      </c>
      <c r="I96" s="4">
        <v>300</v>
      </c>
      <c r="J96" s="4">
        <v>30</v>
      </c>
      <c r="K96" s="2">
        <f t="shared" si="17"/>
        <v>12.992125984251967</v>
      </c>
      <c r="L96" s="3">
        <f t="shared" si="18"/>
        <v>93.013100436681214</v>
      </c>
      <c r="M96" s="4">
        <v>712</v>
      </c>
      <c r="N96" s="4">
        <v>510</v>
      </c>
      <c r="O96" s="4">
        <v>800</v>
      </c>
      <c r="P96" s="4">
        <v>188</v>
      </c>
      <c r="Q96" s="6">
        <f t="shared" si="19"/>
        <v>0.32217194570135749</v>
      </c>
      <c r="R96" s="6">
        <f t="shared" si="20"/>
        <v>0.23076923076923078</v>
      </c>
      <c r="S96" s="6">
        <f t="shared" si="21"/>
        <v>0.36199095022624433</v>
      </c>
      <c r="T96" s="6">
        <f t="shared" si="22"/>
        <v>8.5067873303167424E-2</v>
      </c>
    </row>
    <row r="97" spans="1:20" x14ac:dyDescent="0.25">
      <c r="A97" s="1" t="s">
        <v>64</v>
      </c>
      <c r="B97" s="4">
        <f t="shared" si="12"/>
        <v>1880</v>
      </c>
      <c r="C97" s="4">
        <f t="shared" si="13"/>
        <v>963</v>
      </c>
      <c r="D97" s="4">
        <f t="shared" si="14"/>
        <v>917</v>
      </c>
      <c r="E97" s="4">
        <f t="shared" si="15"/>
        <v>1741</v>
      </c>
      <c r="F97" s="4">
        <v>833</v>
      </c>
      <c r="G97" s="4">
        <v>908</v>
      </c>
      <c r="H97" s="4">
        <f t="shared" si="16"/>
        <v>139</v>
      </c>
      <c r="I97" s="4">
        <v>130</v>
      </c>
      <c r="J97" s="4">
        <v>9</v>
      </c>
      <c r="K97" s="2">
        <f t="shared" si="17"/>
        <v>7.3936170212765955</v>
      </c>
      <c r="L97" s="3">
        <f t="shared" si="18"/>
        <v>91.740088105726869</v>
      </c>
      <c r="M97" s="4">
        <v>541</v>
      </c>
      <c r="N97" s="4">
        <v>374</v>
      </c>
      <c r="O97" s="4">
        <v>649</v>
      </c>
      <c r="P97" s="4">
        <v>177</v>
      </c>
      <c r="Q97" s="6">
        <f t="shared" si="19"/>
        <v>0.31074095347501435</v>
      </c>
      <c r="R97" s="6">
        <f t="shared" si="20"/>
        <v>0.2148190695002872</v>
      </c>
      <c r="S97" s="6">
        <f t="shared" si="21"/>
        <v>0.37277426766226307</v>
      </c>
      <c r="T97" s="6">
        <f t="shared" si="22"/>
        <v>0.10166570936243538</v>
      </c>
    </row>
  </sheetData>
  <mergeCells count="8">
    <mergeCell ref="Q3:T3"/>
    <mergeCell ref="M3:P3"/>
    <mergeCell ref="L3:L4"/>
    <mergeCell ref="A3:A4"/>
    <mergeCell ref="K3:K4"/>
    <mergeCell ref="B3:D3"/>
    <mergeCell ref="E3:G3"/>
    <mergeCell ref="H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Ali Nizam</cp:lastModifiedBy>
  <dcterms:created xsi:type="dcterms:W3CDTF">2025-08-24T12:49:18Z</dcterms:created>
  <dcterms:modified xsi:type="dcterms:W3CDTF">2025-08-27T06:35:48Z</dcterms:modified>
</cp:coreProperties>
</file>